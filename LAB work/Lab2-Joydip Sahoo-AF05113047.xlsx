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8DC7DBD-826F-4D59-AAC8-E5363AE158F8}" xr6:coauthVersionLast="47" xr6:coauthVersionMax="47" xr10:uidLastSave="{00000000-0000-0000-0000-000000000000}"/>
  <bookViews>
    <workbookView xWindow="0" yWindow="12" windowWidth="23256" windowHeight="13176" xr2:uid="{3F612D2A-F394-466A-986B-46907E812176}"/>
  </bookViews>
  <sheets>
    <sheet name="labwork2-joydip sahooAF051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2" l="1"/>
  <c r="J7" i="2"/>
  <c r="K7" i="2"/>
  <c r="L7" i="2"/>
  <c r="M7" i="2" a="1"/>
  <c r="M7" i="2"/>
  <c r="N7" i="2"/>
  <c r="O7" i="2"/>
  <c r="P7" i="2" a="1"/>
  <c r="P7" i="2"/>
  <c r="I8" i="2"/>
  <c r="J8" i="2"/>
  <c r="K8" i="2"/>
  <c r="L8" i="2"/>
  <c r="M8" i="2" a="1"/>
  <c r="M8" i="2" s="1"/>
  <c r="N8" i="2"/>
  <c r="O8" i="2"/>
  <c r="I9" i="2"/>
  <c r="J9" i="2"/>
  <c r="K9" i="2"/>
  <c r="L9" i="2"/>
  <c r="M9" i="2" a="1"/>
  <c r="M9" i="2" s="1"/>
  <c r="N9" i="2"/>
  <c r="O9" i="2"/>
  <c r="I10" i="2"/>
  <c r="J10" i="2"/>
  <c r="K10" i="2"/>
  <c r="L10" i="2"/>
  <c r="M10" i="2" a="1"/>
  <c r="M10" i="2" s="1"/>
  <c r="N10" i="2"/>
  <c r="O10" i="2"/>
  <c r="I11" i="2"/>
  <c r="J11" i="2"/>
  <c r="K11" i="2"/>
  <c r="L11" i="2"/>
  <c r="M11" i="2" a="1"/>
  <c r="M11" i="2" s="1"/>
  <c r="N11" i="2"/>
  <c r="O11" i="2"/>
  <c r="I12" i="2"/>
  <c r="J12" i="2"/>
  <c r="K12" i="2"/>
  <c r="L12" i="2"/>
  <c r="M12" i="2" a="1"/>
  <c r="M12" i="2" s="1"/>
  <c r="N12" i="2"/>
  <c r="O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<sst xmlns="http://schemas.openxmlformats.org/spreadsheetml/2006/main" count="25" uniqueCount="22">
  <si>
    <t>ProductID</t>
  </si>
  <si>
    <t>Product</t>
  </si>
  <si>
    <t>Sales</t>
  </si>
  <si>
    <t>Target</t>
  </si>
  <si>
    <t>Region</t>
  </si>
  <si>
    <t>Bouns</t>
  </si>
  <si>
    <t xml:space="preserve">Sales Target </t>
  </si>
  <si>
    <t>commison</t>
  </si>
  <si>
    <t>Bonus</t>
  </si>
  <si>
    <t>salles value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</si>
  <si>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</si>
  <si>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</si>
  <si>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</si>
  <si>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</si>
  <si>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</si>
  <si>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</si>
  <si>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</si>
  <si>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</si>
  <si>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</si>
  <si>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</si>
  <si>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peformance</t>
  </si>
  <si>
    <t>Sales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</si>
</sst>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9F19-3151-4A30-B8F1-2247AD6D1B32}">
  <dimension ref="D6:P12"/>
  <sheetViews>
    <sheetView tabSelected="1" workbookViewId="0">
      <selection activeCell="P8" sqref="P8"/>
    </sheetView>
  </sheetViews>
  <sheetFormatPr defaultRowHeight="14.4" x14ac:dyDescent="0.3"/>
  <cols>
    <col min="4" max="4" width="9.44140625" bestFit="1" customWidth="1"/>
    <col min="5" max="5" width="9" bestFit="1" customWidth="1"/>
    <col min="6" max="6" width="5.21875" bestFit="1" customWidth="1"/>
    <col min="7" max="7" width="6.33203125" bestFit="1" customWidth="1"/>
    <col min="8" max="8" width="6.77734375" bestFit="1" customWidth="1"/>
    <col min="9" max="9" width="9.33203125" bestFit="1" customWidth="1"/>
    <col min="10" max="10" width="11.44140625" bestFit="1" customWidth="1"/>
    <col min="11" max="11" width="9.77734375" bestFit="1" customWidth="1"/>
    <col min="12" max="12" width="6.21875" bestFit="1" customWidth="1"/>
    <col min="13" max="13" width="16.6640625" bestFit="1" customWidth="1"/>
    <col min="14" max="14" width="10.44140625" bestFit="1" customWidth="1"/>
    <col min="15" max="15" width="6.21875" bestFit="1" customWidth="1"/>
    <col min="16" max="16" width="11.21875" bestFit="1" customWidth="1"/>
  </cols>
  <sheetData>
    <row r="6" spans="4:16" x14ac:dyDescent="0.3">
      <c r="D6" s="1" t="s">
        <v>0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  <c r="J6" s="1" t="s">
        <v>6</v>
      </c>
      <c r="K6" s="1" t="s">
        <v>7</v>
      </c>
      <c r="L6" s="1" t="s">
        <v>8</v>
      </c>
      <c r="M6" s="1" t="s">
        <v>21</v>
      </c>
      <c r="N6" s="1" t="s">
        <v>9</v>
      </c>
      <c r="O6" s="1" t="s">
        <v>8</v>
      </c>
      <c r="P6" s="1" t="s">
        <v>20</v>
      </c>
    </row>
    <row r="7" spans="4:16" x14ac:dyDescent="0.3">
      <c r="D7" s="2">
        <v>101</v>
      </c>
      <c r="E7" s="2" t="s">
        <v>10</v>
      </c>
      <c r="F7" s="2">
        <v>120</v>
      </c>
      <c r="G7" s="2">
        <v>150</v>
      </c>
      <c r="H7" s="2" t="s">
        <v>11</v>
      </c>
      <c r="I7" s="2" t="str">
        <f t="shared" ref="I7:I12" si="0">IF(AND(F7&gt;200,H7="North"),"eligble","Noteligble")</f>
        <v>Noteligble</v>
      </c>
      <c r="J7" s="2" t="str">
        <f t="shared" ref="J7:J12" si="1">IF(F7&gt;=G7,"Yes","NO")</f>
        <v>NO</v>
      </c>
      <c r="K7" s="2" t="str">
        <f t="shared" ref="K7:K12" si="2">IF(F7&gt;=200,"10%",IF(F7&gt;=150,"7%","5%"))</f>
        <v>5%</v>
      </c>
      <c r="L7" s="2" t="str">
        <f t="shared" ref="L7:L12" si="3">IF(F7&gt;=G7,"10%","5%")</f>
        <v>5%</v>
      </c>
      <c r="M7" s="2" t="str" cm="1">
        <f t="array" ref="M7">_xlfn.IFS(F7&gt;=200,"Excellent",F7&gt;=150,"Good",F7&lt;150,"Needs Improvent")</f>
        <v>Needs Improvent</v>
      </c>
      <c r="N7" s="2" t="str">
        <f t="shared" ref="N7:N12" si="4">IF(F7&gt;200,"Exclent",IF(F7&gt;=100,"Medium","Low"))</f>
        <v>Medium</v>
      </c>
      <c r="O7" s="2" t="str">
        <f t="shared" ref="O7:O12" si="5">IF(AND( F7&gt;=150,H7="North"),"$500","$300")</f>
        <v>$300</v>
      </c>
      <c r="P7" s="2" t="str" cm="1">
        <f t="array" ref="P7:P12">IF(F7:F12&gt;=PERCENTILE($F$7:$F$12,0.75),"High","normal")</f>
        <v>normal</v>
      </c>
    </row>
    <row r="8" spans="4:16" x14ac:dyDescent="0.3">
      <c r="D8" s="2">
        <v>102</v>
      </c>
      <c r="E8" s="2" t="s">
        <v>12</v>
      </c>
      <c r="F8" s="2">
        <v>150</v>
      </c>
      <c r="G8" s="2">
        <v>140</v>
      </c>
      <c r="H8" s="2" t="s">
        <v>13</v>
      </c>
      <c r="I8" s="2" t="str">
        <f t="shared" si="0"/>
        <v>Noteligble</v>
      </c>
      <c r="J8" s="2" t="str">
        <f t="shared" si="1"/>
        <v>Yes</v>
      </c>
      <c r="K8" s="2" t="str">
        <f t="shared" si="2"/>
        <v>7%</v>
      </c>
      <c r="L8" s="2" t="str">
        <f t="shared" si="3"/>
        <v>10%</v>
      </c>
      <c r="M8" s="2" t="str" cm="1">
        <f t="array" ref="M8">_xlfn.IFS(F8&gt;=200,"Excellent",F8&gt;=150,"Good",F8&lt;150,"Needs Improvent")</f>
        <v>Good</v>
      </c>
      <c r="N8" s="2" t="str">
        <f t="shared" si="4"/>
        <v>Medium</v>
      </c>
      <c r="O8" s="2" t="str">
        <f t="shared" si="5"/>
        <v>$300</v>
      </c>
      <c r="P8" s="2" t="str">
        <v>normal</v>
      </c>
    </row>
    <row r="9" spans="4:16" x14ac:dyDescent="0.3">
      <c r="D9" s="2">
        <v>103</v>
      </c>
      <c r="E9" s="2" t="s">
        <v>14</v>
      </c>
      <c r="F9" s="2">
        <v>200</v>
      </c>
      <c r="G9" s="2">
        <v>200</v>
      </c>
      <c r="H9" s="2" t="s">
        <v>15</v>
      </c>
      <c r="I9" s="2" t="str">
        <f t="shared" si="0"/>
        <v>Noteligble</v>
      </c>
      <c r="J9" s="2" t="str">
        <f t="shared" si="1"/>
        <v>Yes</v>
      </c>
      <c r="K9" s="2" t="str">
        <f t="shared" si="2"/>
        <v>10%</v>
      </c>
      <c r="L9" s="2" t="str">
        <f t="shared" si="3"/>
        <v>10%</v>
      </c>
      <c r="M9" s="2" t="str" cm="1">
        <f t="array" ref="M9">_xlfn.IFS(F9&gt;=200,"Excellent",F9&gt;=150,"Good",F9&lt;150,"Needs Improvent")</f>
        <v>Excellent</v>
      </c>
      <c r="N9" s="2" t="str">
        <f t="shared" si="4"/>
        <v>Medium</v>
      </c>
      <c r="O9" s="2" t="str">
        <f t="shared" si="5"/>
        <v>$300</v>
      </c>
      <c r="P9" s="2" t="str">
        <v>High</v>
      </c>
    </row>
    <row r="10" spans="4:16" x14ac:dyDescent="0.3">
      <c r="D10" s="2">
        <v>104</v>
      </c>
      <c r="E10" s="2" t="s">
        <v>16</v>
      </c>
      <c r="F10" s="2">
        <v>90</v>
      </c>
      <c r="G10" s="2">
        <v>100</v>
      </c>
      <c r="H10" s="2" t="s">
        <v>17</v>
      </c>
      <c r="I10" s="2" t="str">
        <f t="shared" si="0"/>
        <v>Noteligble</v>
      </c>
      <c r="J10" s="2" t="str">
        <f t="shared" si="1"/>
        <v>NO</v>
      </c>
      <c r="K10" s="2" t="str">
        <f t="shared" si="2"/>
        <v>5%</v>
      </c>
      <c r="L10" s="2" t="str">
        <f t="shared" si="3"/>
        <v>5%</v>
      </c>
      <c r="M10" s="2" t="str" cm="1">
        <f t="array" ref="M10">_xlfn.IFS(F10&gt;=200,"Excellent",F10&gt;=150,"Good",F10&lt;150,"Needs Improvent")</f>
        <v>Needs Improvent</v>
      </c>
      <c r="N10" s="2" t="str">
        <f t="shared" si="4"/>
        <v>Low</v>
      </c>
      <c r="O10" s="2" t="str">
        <f t="shared" si="5"/>
        <v>$300</v>
      </c>
      <c r="P10" s="2" t="str">
        <v>normal</v>
      </c>
    </row>
    <row r="11" spans="4:16" x14ac:dyDescent="0.3">
      <c r="D11" s="2">
        <v>105</v>
      </c>
      <c r="E11" s="2" t="s">
        <v>18</v>
      </c>
      <c r="F11" s="2">
        <v>220</v>
      </c>
      <c r="G11" s="2">
        <v>210</v>
      </c>
      <c r="H11" s="2" t="s">
        <v>11</v>
      </c>
      <c r="I11" s="2" t="str">
        <f t="shared" si="0"/>
        <v>eligble</v>
      </c>
      <c r="J11" s="2" t="str">
        <f t="shared" si="1"/>
        <v>Yes</v>
      </c>
      <c r="K11" s="2" t="str">
        <f t="shared" si="2"/>
        <v>10%</v>
      </c>
      <c r="L11" s="2" t="str">
        <f t="shared" si="3"/>
        <v>10%</v>
      </c>
      <c r="M11" s="2" t="str" cm="1">
        <f t="array" ref="M11">_xlfn.IFS(F11&gt;=200,"Excellent",F11&gt;=150,"Good",F11&lt;150,"Needs Improvent")</f>
        <v>Excellent</v>
      </c>
      <c r="N11" s="2" t="str">
        <f t="shared" si="4"/>
        <v>Exclent</v>
      </c>
      <c r="O11" s="2" t="str">
        <f t="shared" si="5"/>
        <v>$500</v>
      </c>
      <c r="P11" s="2" t="str">
        <v>High</v>
      </c>
    </row>
    <row r="12" spans="4:16" x14ac:dyDescent="0.3">
      <c r="D12" s="2">
        <v>106</v>
      </c>
      <c r="E12" s="2" t="s">
        <v>19</v>
      </c>
      <c r="F12" s="2">
        <v>130</v>
      </c>
      <c r="G12" s="2">
        <v>160</v>
      </c>
      <c r="H12" s="2" t="s">
        <v>13</v>
      </c>
      <c r="I12" s="2" t="str">
        <f t="shared" si="0"/>
        <v>Noteligble</v>
      </c>
      <c r="J12" s="2" t="str">
        <f t="shared" si="1"/>
        <v>NO</v>
      </c>
      <c r="K12" s="2" t="str">
        <f t="shared" si="2"/>
        <v>5%</v>
      </c>
      <c r="L12" s="2" t="str">
        <f t="shared" si="3"/>
        <v>5%</v>
      </c>
      <c r="M12" s="2" t="str" cm="1">
        <f t="array" ref="M12">_xlfn.IFS(F12&gt;=200,"Excellent",F12&gt;=150,"Good",F12&lt;150,"Needs Improvent")</f>
        <v>Needs Improvent</v>
      </c>
      <c r="N12" s="2" t="str">
        <f t="shared" si="4"/>
        <v>Medium</v>
      </c>
      <c r="O12" s="2" t="str">
        <f t="shared" si="5"/>
        <v>$300</v>
      </c>
      <c r="P12" s="2" t="str">
        <v>normal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labwork2-joydip sahooAF0511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Joydip Sahoo</dc:creator>
  <cp:lastModifiedBy>Joydip Sahoo</cp:lastModifiedBy>
  <dcterms:created xsi:type="dcterms:W3CDTF">2026-02-26T04:48:29Z</dcterms:created>
  <dcterms:modified xsi:type="dcterms:W3CDTF">2026-03-08T18:36:20Z</dcterms:modified>
</cp:coreProperties>
</file>