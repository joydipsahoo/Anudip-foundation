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72C35D4-5523-448F-9071-3E534F48C1FC}" xr6:coauthVersionLast="47" xr6:coauthVersionMax="47" xr10:uidLastSave="{00000000-0000-0000-0000-000000000000}"/>
  <bookViews>
    <workbookView xWindow="-108" yWindow="-108" windowWidth="23256" windowHeight="13176" activeTab="1" xr2:uid="{B424C7B6-A88D-4CD1-9731-85D210691D77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B13" i="2"/>
  <c r="I3" i="2"/>
  <c r="I4" i="2"/>
  <c r="I5" i="2"/>
  <c r="I6" i="2"/>
  <c r="I7" i="2"/>
  <c r="I8" i="2"/>
  <c r="I2" i="2"/>
  <c r="H3" i="2"/>
  <c r="H4" i="2"/>
  <c r="H5" i="2"/>
  <c r="H6" i="2"/>
  <c r="H7" i="2"/>
  <c r="H2" i="2"/>
  <c r="G3" i="2"/>
  <c r="G4" i="2"/>
  <c r="G5" i="2"/>
  <c r="G6" i="2"/>
  <c r="G7" i="2"/>
  <c r="G2" i="2"/>
  <c r="F3" i="2"/>
  <c r="F4" i="2"/>
  <c r="F5" i="2"/>
  <c r="F6" i="2"/>
  <c r="F7" i="2"/>
  <c r="F2" i="2"/>
  <c r="E7" i="2"/>
  <c r="E3" i="2"/>
  <c r="E4" i="2"/>
  <c r="E5" i="2"/>
  <c r="E6" i="2"/>
  <c r="E2" i="2"/>
  <c r="D3" i="2"/>
  <c r="D4" i="2"/>
  <c r="D5" i="2"/>
  <c r="D6" i="2"/>
  <c r="D7" i="2"/>
</calcChain>
</file>

<file path=xl/sharedStrings.xml><?xml version="1.0" encoding="utf-8"?>
<sst xmlns="http://schemas.openxmlformats.org/spreadsheetml/2006/main" count="19" uniqueCount="19">
  <si>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</si>
  <si>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</si>
  <si>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</si>
  <si>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</si>
  <si>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</si>
  <si>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</si>
  <si>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</si>
  <si>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</si>
  <si>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G</t>
  </si>
  <si>
    <t>order Id</t>
  </si>
  <si>
    <t>Product Id</t>
  </si>
  <si>
    <t>Qunatity</t>
  </si>
  <si>
    <t>Product name</t>
  </si>
  <si>
    <t>total price</t>
  </si>
  <si>
    <t>discount total price</t>
  </si>
  <si>
    <t>unit price</t>
  </si>
  <si>
    <t>discout unit price</t>
  </si>
  <si>
    <t>status</t>
  </si>
  <si>
    <t>Maximum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</si>
</sst>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35DD-5230-4C3C-B4D2-4483D57F36E7}">
  <dimension ref="A1:C7"/>
  <sheetViews>
    <sheetView workbookViewId="0">
      <selection activeCell="F1" sqref="F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>
        <v>120</v>
      </c>
    </row>
    <row r="3" spans="1:3" x14ac:dyDescent="0.3">
      <c r="A3" s="2">
        <v>102</v>
      </c>
      <c r="B3" s="2" t="s">
        <v>4</v>
      </c>
      <c r="C3" s="2">
        <v>150</v>
      </c>
    </row>
    <row r="4" spans="1:3" x14ac:dyDescent="0.3">
      <c r="A4" s="2">
        <v>103</v>
      </c>
      <c r="B4" s="2" t="s">
        <v>5</v>
      </c>
      <c r="C4" s="2">
        <v>200</v>
      </c>
    </row>
    <row r="5" spans="1:3" x14ac:dyDescent="0.3">
      <c r="A5" s="2">
        <v>104</v>
      </c>
      <c r="B5" s="2" t="s">
        <v>6</v>
      </c>
      <c r="C5" s="2">
        <v>90</v>
      </c>
    </row>
    <row r="6" spans="1:3" x14ac:dyDescent="0.3">
      <c r="A6" s="2">
        <v>105</v>
      </c>
      <c r="B6" s="2" t="s">
        <v>7</v>
      </c>
      <c r="C6" s="2">
        <v>220</v>
      </c>
    </row>
    <row r="7" spans="1:3" x14ac:dyDescent="0.3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7DE4-4CAE-4151-9DF1-0CCF354F9D04}">
  <dimension ref="A1:I13"/>
  <sheetViews>
    <sheetView tabSelected="1" workbookViewId="0">
      <selection activeCell="H21" sqref="H21"/>
    </sheetView>
  </sheetViews>
  <sheetFormatPr defaultRowHeight="14.4" x14ac:dyDescent="0.3"/>
  <cols>
    <col min="1" max="1" width="7.6640625" bestFit="1" customWidth="1"/>
    <col min="2" max="2" width="14.109375" bestFit="1" customWidth="1"/>
    <col min="3" max="3" width="8.33203125" bestFit="1" customWidth="1"/>
    <col min="4" max="4" width="12.88671875" bestFit="1" customWidth="1"/>
    <col min="5" max="5" width="9.77734375" bestFit="1" customWidth="1"/>
    <col min="6" max="6" width="17.33203125" bestFit="1" customWidth="1"/>
    <col min="7" max="7" width="8.88671875" bestFit="1" customWidth="1"/>
    <col min="8" max="8" width="15.5546875" bestFit="1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4" t="s">
        <v>17</v>
      </c>
    </row>
    <row r="2" spans="1:9" x14ac:dyDescent="0.3">
      <c r="A2" s="2">
        <v>1</v>
      </c>
      <c r="B2" s="2">
        <v>101</v>
      </c>
      <c r="C2" s="2">
        <v>2</v>
      </c>
      <c r="D2" s="2" t="str">
        <f>VLOOKUP(B2,products!$A$1:$C$7,2,0)</f>
        <v>Product A</v>
      </c>
      <c r="E2" s="2">
        <f>VLOOKUP(B2,products!$A$1:$C$7,3,0)*orders!C2</f>
        <v>240</v>
      </c>
      <c r="F2" s="2">
        <f>(E2-E2*10%)</f>
        <v>216</v>
      </c>
      <c r="G2" s="2">
        <f>VLOOKUP(B2,products!$A$1:$C$7,3,0)</f>
        <v>120</v>
      </c>
      <c r="H2" s="2">
        <f>(G2-G2*10%)</f>
        <v>108</v>
      </c>
      <c r="I2" s="2" t="str">
        <f>IF(ISNA(VLOOKUP(B2,products!$A$1:$A$7,1,0)),"not order","order")</f>
        <v>order</v>
      </c>
    </row>
    <row r="3" spans="1:9" x14ac:dyDescent="0.3">
      <c r="A3" s="2">
        <v>2</v>
      </c>
      <c r="B3" s="2">
        <v>103</v>
      </c>
      <c r="C3" s="2">
        <v>1</v>
      </c>
      <c r="D3" s="2" t="str">
        <f>VLOOKUP(B3,products!$A$1:$C$7,2,0)</f>
        <v>Product C</v>
      </c>
      <c r="E3" s="2">
        <f>VLOOKUP(B3,products!$A$1:$C$7,3,0)*orders!C3</f>
        <v>200</v>
      </c>
      <c r="F3" s="2">
        <f t="shared" ref="F3:F7" si="0">(E3-E3*10%)</f>
        <v>180</v>
      </c>
      <c r="G3" s="2">
        <f>VLOOKUP(B3,products!$A$1:$C$7,3,0)</f>
        <v>200</v>
      </c>
      <c r="H3" s="2">
        <f t="shared" ref="H3:H7" si="1">(G3-G3*10%)</f>
        <v>180</v>
      </c>
      <c r="I3" s="2" t="str">
        <f>IF(ISNA(VLOOKUP(B3,products!$A$1:$A$7,1,0)),"not order","order")</f>
        <v>order</v>
      </c>
    </row>
    <row r="4" spans="1:9" x14ac:dyDescent="0.3">
      <c r="A4" s="2">
        <v>3</v>
      </c>
      <c r="B4" s="2">
        <v>105</v>
      </c>
      <c r="C4" s="2">
        <v>4</v>
      </c>
      <c r="D4" s="2" t="str">
        <f>VLOOKUP(B4,products!$A$1:$C$7,2,0)</f>
        <v>Product E</v>
      </c>
      <c r="E4" s="2">
        <f>VLOOKUP(B4,products!$A$1:$C$7,3,0)*orders!C4</f>
        <v>880</v>
      </c>
      <c r="F4" s="2">
        <f t="shared" si="0"/>
        <v>792</v>
      </c>
      <c r="G4" s="2">
        <f>VLOOKUP(B4,products!$A$1:$C$7,3,0)</f>
        <v>220</v>
      </c>
      <c r="H4" s="2">
        <f t="shared" si="1"/>
        <v>198</v>
      </c>
      <c r="I4" s="2" t="str">
        <f>IF(ISNA(VLOOKUP(B4,products!$A$1:$A$7,1,0)),"not order","order")</f>
        <v>order</v>
      </c>
    </row>
    <row r="5" spans="1:9" x14ac:dyDescent="0.3">
      <c r="A5" s="2">
        <v>4</v>
      </c>
      <c r="B5" s="2">
        <v>106</v>
      </c>
      <c r="C5" s="2">
        <v>3</v>
      </c>
      <c r="D5" s="2" t="str">
        <f>VLOOKUP(B5,products!$A$1:$C$7,2,0)</f>
        <v>Product G</v>
      </c>
      <c r="E5" s="2">
        <f>VLOOKUP(B5,products!$A$1:$C$7,3,0)*orders!C5</f>
        <v>390</v>
      </c>
      <c r="F5" s="2">
        <f t="shared" si="0"/>
        <v>351</v>
      </c>
      <c r="G5" s="2">
        <f>VLOOKUP(B5,products!$A$1:$C$7,3,0)</f>
        <v>130</v>
      </c>
      <c r="H5" s="2">
        <f t="shared" si="1"/>
        <v>117</v>
      </c>
      <c r="I5" s="2" t="str">
        <f>IF(ISNA(VLOOKUP(B5,products!$A$1:$A$7,1,0)),"not order","order")</f>
        <v>order</v>
      </c>
    </row>
    <row r="6" spans="1:9" x14ac:dyDescent="0.3">
      <c r="A6" s="2">
        <v>5</v>
      </c>
      <c r="B6" s="2">
        <v>102</v>
      </c>
      <c r="C6" s="2">
        <v>5</v>
      </c>
      <c r="D6" s="2" t="str">
        <f>VLOOKUP(B6,products!$A$1:$C$7,2,0)</f>
        <v>Product B</v>
      </c>
      <c r="E6" s="2">
        <f>VLOOKUP(B6,products!$A$1:$C$7,3,0)*orders!C6</f>
        <v>750</v>
      </c>
      <c r="F6" s="2">
        <f t="shared" si="0"/>
        <v>675</v>
      </c>
      <c r="G6" s="2">
        <f>VLOOKUP(B6,products!$A$1:$C$7,3,0)</f>
        <v>150</v>
      </c>
      <c r="H6" s="2">
        <f t="shared" si="1"/>
        <v>135</v>
      </c>
      <c r="I6" s="2" t="str">
        <f>IF(ISNA(VLOOKUP(B6,products!$A$1:$A$7,1,0)),"not order","order")</f>
        <v>order</v>
      </c>
    </row>
    <row r="7" spans="1:9" x14ac:dyDescent="0.3">
      <c r="A7" s="2">
        <v>6</v>
      </c>
      <c r="B7" s="2">
        <v>104</v>
      </c>
      <c r="C7" s="2">
        <v>6</v>
      </c>
      <c r="D7" s="2" t="str">
        <f>VLOOKUP(B7,products!$A$1:$C$7,2,0)</f>
        <v>Product D</v>
      </c>
      <c r="E7" s="2">
        <f>VLOOKUP(B7,products!$A$1:$C$7,3,0)*orders!C7</f>
        <v>540</v>
      </c>
      <c r="F7" s="2">
        <f t="shared" si="0"/>
        <v>486</v>
      </c>
      <c r="G7" s="2">
        <f>VLOOKUP(B7,products!$A$1:$C$7,3,0)</f>
        <v>90</v>
      </c>
      <c r="H7" s="2">
        <f t="shared" si="1"/>
        <v>81</v>
      </c>
      <c r="I7" s="2" t="str">
        <f>IF(ISNA(VLOOKUP(B7,products!$A$1:$A$7,1,0)),"not order","order")</f>
        <v>order</v>
      </c>
    </row>
    <row r="8" spans="1:9" x14ac:dyDescent="0.3">
      <c r="A8" s="3">
        <v>7</v>
      </c>
      <c r="B8" s="3">
        <v>109</v>
      </c>
      <c r="C8" s="2"/>
      <c r="D8" s="2"/>
      <c r="E8" s="2"/>
      <c r="F8" s="2"/>
      <c r="G8" s="2"/>
      <c r="H8" s="2"/>
      <c r="I8" s="2" t="str">
        <f>IF(ISNA(VLOOKUP(B8,products!$A$1:$A$7,1,0)),"not order","order")</f>
        <v>not order</v>
      </c>
    </row>
    <row r="12" spans="1:9" x14ac:dyDescent="0.3">
      <c r="B12" s="2" t="s">
        <v>18</v>
      </c>
    </row>
    <row r="13" spans="1:9" x14ac:dyDescent="0.3">
      <c r="B13" s="2">
        <f>MAX(E2:E7)</f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Joydip Sahoo</dc:creator>
  <cp:lastModifiedBy>Joydip Sahoo</cp:lastModifiedBy>
  <dcterms:created xsi:type="dcterms:W3CDTF">2026-03-10T04:57:21Z</dcterms:created>
  <dcterms:modified xsi:type="dcterms:W3CDTF">2026-03-10T14:43:47Z</dcterms:modified>
</cp:coreProperties>
</file>