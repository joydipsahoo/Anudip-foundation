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ASUS\Downloads\"/>
    </mc:Choice>
  </mc:AlternateContent>
  <xr:revisionPtr revIDLastSave="0" documentId="8_{4E76F699-6396-4358-A58F-3A8F99D65790}" xr6:coauthVersionLast="47" xr6:coauthVersionMax="47" xr10:uidLastSave="{00000000-0000-0000-0000-000000000000}"/>
  <bookViews>
    <workbookView xWindow="-108" yWindow="-108" windowWidth="23256" windowHeight="13176" activeTab="3" xr2:uid="{7AEF49CF-AFC1-41D9-BAD2-F80FDE2F80F0}"/>
  </bookViews>
  <sheets>
    <sheet name="SIR-2026" sheetId="1" r:id="rId1"/>
    <sheet name="Sheet1" sheetId="2" r:id="rId2"/>
    <sheet name="Sheet2" sheetId="3" r:id="rId3"/>
    <sheet name="dashboard" sheetId="5" r:id="rId4"/>
  </sheets>
  <definedNames>
    <definedName name="Slicer_Name_of_District">#N/A</definedName>
  </definedNames>
  <calcPr calcId="191029"/>
  <pivotCaches>
    <pivotCache cacheId="3"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1" i="3" l="1"/>
  <c r="B17" i="3"/>
  <c r="H11" i="3"/>
  <c r="E11" i="3"/>
  <c r="B11" i="3"/>
</calcChain>
</file>

<file path=xl/sharedStrings.xml><?xml version="1.0" encoding="utf-8"?>
<sst xmlns="http://schemas.openxmlformats.org/spreadsheetml/2006/main" count="662" uniqueCount="335">
  <si>
    <t>Name of District</t>
  </si>
  <si>
    <t>AC NO</t>
  </si>
  <si>
    <t>AC name</t>
  </si>
  <si>
    <t>No of polling station</t>
  </si>
  <si>
    <t>Male electors</t>
  </si>
  <si>
    <t>Female electors</t>
  </si>
  <si>
    <t>Other gender electors</t>
  </si>
  <si>
    <t>Total electors</t>
  </si>
  <si>
    <t>COOCHBEHAR</t>
  </si>
  <si>
    <t>Mekliganj</t>
  </si>
  <si>
    <t>Mathabhanga</t>
  </si>
  <si>
    <t>COOCHBEHAR UTTAR</t>
  </si>
  <si>
    <t>Cooch Behar Dakshin</t>
  </si>
  <si>
    <t>Sitalkuchi</t>
  </si>
  <si>
    <t>Sitai</t>
  </si>
  <si>
    <t>Dinhata</t>
  </si>
  <si>
    <t>Natabari</t>
  </si>
  <si>
    <t>Tufanganj</t>
  </si>
  <si>
    <t>ALIPURDUAR</t>
  </si>
  <si>
    <t>Kumargram</t>
  </si>
  <si>
    <t>Kalchini</t>
  </si>
  <si>
    <t>Alipurduars</t>
  </si>
  <si>
    <t>Falakata</t>
  </si>
  <si>
    <t>Madarihat</t>
  </si>
  <si>
    <t>JALPAIGURI</t>
  </si>
  <si>
    <t>Dhupguri</t>
  </si>
  <si>
    <t>Maynaguri</t>
  </si>
  <si>
    <t>Jalpaiguri</t>
  </si>
  <si>
    <t>Rajganj</t>
  </si>
  <si>
    <t>Dabgram-Fulbari</t>
  </si>
  <si>
    <t>Mal</t>
  </si>
  <si>
    <t>Nagrakata</t>
  </si>
  <si>
    <t>Kalimpong</t>
  </si>
  <si>
    <t>DARJEELING</t>
  </si>
  <si>
    <t>Darjeeling</t>
  </si>
  <si>
    <t>Kurseong</t>
  </si>
  <si>
    <t>Matigara-Naxalbari</t>
  </si>
  <si>
    <t>Siliguri</t>
  </si>
  <si>
    <t>Phansidewa</t>
  </si>
  <si>
    <t>UTTAR DINAJPUR</t>
  </si>
  <si>
    <t>Chopra</t>
  </si>
  <si>
    <t>Islampur</t>
  </si>
  <si>
    <t>Goalpokhar</t>
  </si>
  <si>
    <t>Chakulia</t>
  </si>
  <si>
    <t>Karandighi</t>
  </si>
  <si>
    <t>Hemtabad</t>
  </si>
  <si>
    <t>Kaliaganj</t>
  </si>
  <si>
    <t>Raiganj</t>
  </si>
  <si>
    <t>Itahar</t>
  </si>
  <si>
    <t>DAKSHIN DINAJPUR</t>
  </si>
  <si>
    <t>Kushmandi</t>
  </si>
  <si>
    <t>Kumarganj</t>
  </si>
  <si>
    <t>Balurghat</t>
  </si>
  <si>
    <t>Tapan</t>
  </si>
  <si>
    <t>Gangarampur</t>
  </si>
  <si>
    <t>Harirampur</t>
  </si>
  <si>
    <t>MALDA</t>
  </si>
  <si>
    <t>Habibpur</t>
  </si>
  <si>
    <t>Gazole</t>
  </si>
  <si>
    <t>Chanchal</t>
  </si>
  <si>
    <t>Harischandrapur</t>
  </si>
  <si>
    <t>Malatipur</t>
  </si>
  <si>
    <t>Ratua</t>
  </si>
  <si>
    <t>Manikchak</t>
  </si>
  <si>
    <t>Maldaha</t>
  </si>
  <si>
    <t>Englishbazar</t>
  </si>
  <si>
    <t>Mothabari</t>
  </si>
  <si>
    <t>Sujapur</t>
  </si>
  <si>
    <t>Baisnabnagar</t>
  </si>
  <si>
    <t>MURSHIDABAD</t>
  </si>
  <si>
    <t>Farakka</t>
  </si>
  <si>
    <t>Samserganj</t>
  </si>
  <si>
    <t>Suti</t>
  </si>
  <si>
    <t>Jangipur</t>
  </si>
  <si>
    <t>RaghunathGanj</t>
  </si>
  <si>
    <t>Sagardighi</t>
  </si>
  <si>
    <t>Lalgola</t>
  </si>
  <si>
    <t>Bhagabangola</t>
  </si>
  <si>
    <t>Raninagar</t>
  </si>
  <si>
    <t>Murshidabad</t>
  </si>
  <si>
    <t>Nabagram</t>
  </si>
  <si>
    <t>Khargram</t>
  </si>
  <si>
    <t>Burwan</t>
  </si>
  <si>
    <t>Kandi</t>
  </si>
  <si>
    <t>Bharatpur</t>
  </si>
  <si>
    <t>Rejinagar</t>
  </si>
  <si>
    <t>Beldanga</t>
  </si>
  <si>
    <t>Baharampur</t>
  </si>
  <si>
    <t>Hariharpara</t>
  </si>
  <si>
    <t>Naoda</t>
  </si>
  <si>
    <t>Domkal</t>
  </si>
  <si>
    <t>Jalangi</t>
  </si>
  <si>
    <t>NADIA</t>
  </si>
  <si>
    <t>Karimpur</t>
  </si>
  <si>
    <t>Tehatta</t>
  </si>
  <si>
    <t>Palashipara</t>
  </si>
  <si>
    <t>Kaliganj</t>
  </si>
  <si>
    <t>Nakashipara</t>
  </si>
  <si>
    <t>Chapra</t>
  </si>
  <si>
    <t>Krishnanagar Uttar</t>
  </si>
  <si>
    <t>Nabadwip</t>
  </si>
  <si>
    <t>Krishnanagar Dakshin</t>
  </si>
  <si>
    <t>Santipur</t>
  </si>
  <si>
    <t>Ranaghat Uttar Paschim</t>
  </si>
  <si>
    <t>Krishnaganj</t>
  </si>
  <si>
    <t>Ranaghat Uttar Purba</t>
  </si>
  <si>
    <t>Ranaghat Dakshin</t>
  </si>
  <si>
    <t>Chakdaha</t>
  </si>
  <si>
    <t>Kalyani</t>
  </si>
  <si>
    <t>Haringhata</t>
  </si>
  <si>
    <t>NORTH 24 PARGANAS</t>
  </si>
  <si>
    <t>Bagda</t>
  </si>
  <si>
    <t>Bangaon Uttar</t>
  </si>
  <si>
    <t>Bangaon Dakshin</t>
  </si>
  <si>
    <t>Gaighata</t>
  </si>
  <si>
    <t>Swarupnagar</t>
  </si>
  <si>
    <t>Baduria</t>
  </si>
  <si>
    <t>Habra</t>
  </si>
  <si>
    <t>Ashoknagar</t>
  </si>
  <si>
    <t>Amdanga</t>
  </si>
  <si>
    <t>Bijpur</t>
  </si>
  <si>
    <t>Naihati</t>
  </si>
  <si>
    <t>Bhatpara</t>
  </si>
  <si>
    <t>Jagatdal</t>
  </si>
  <si>
    <t>Noapara</t>
  </si>
  <si>
    <t>Barrackpur</t>
  </si>
  <si>
    <t>Khardaha</t>
  </si>
  <si>
    <t>Dum Dum Uttar</t>
  </si>
  <si>
    <t>Panihati</t>
  </si>
  <si>
    <t>Kamarhati</t>
  </si>
  <si>
    <t>Baranagar</t>
  </si>
  <si>
    <t>Dum Dum</t>
  </si>
  <si>
    <t>Rajarhat New Town</t>
  </si>
  <si>
    <t>Bidhannagar</t>
  </si>
  <si>
    <t>Rajarhat Gopalpur</t>
  </si>
  <si>
    <t>Madhyamgram</t>
  </si>
  <si>
    <t>Barasat</t>
  </si>
  <si>
    <t>Deganga</t>
  </si>
  <si>
    <t>Haroa</t>
  </si>
  <si>
    <t>Minakhan</t>
  </si>
  <si>
    <t>Sandeshkhali</t>
  </si>
  <si>
    <t>Basirhat Dakshin</t>
  </si>
  <si>
    <t>Basirhat Uttar</t>
  </si>
  <si>
    <t>Hingalganj</t>
  </si>
  <si>
    <t>SOUTH 24 PARGANAS</t>
  </si>
  <si>
    <t>Gosaba</t>
  </si>
  <si>
    <t>Basanti</t>
  </si>
  <si>
    <t>Kultali</t>
  </si>
  <si>
    <t>Patharpratima</t>
  </si>
  <si>
    <t>Kakdwip</t>
  </si>
  <si>
    <t>Sagar</t>
  </si>
  <si>
    <t>Kulpi</t>
  </si>
  <si>
    <t>Raidighi</t>
  </si>
  <si>
    <t>Mandirbazar</t>
  </si>
  <si>
    <t>Joynagar</t>
  </si>
  <si>
    <t>Baruipur Purba</t>
  </si>
  <si>
    <t>Canning Paschim</t>
  </si>
  <si>
    <t>Canning Purba</t>
  </si>
  <si>
    <t>Baruipur Paschim</t>
  </si>
  <si>
    <t>Magrahat Purba</t>
  </si>
  <si>
    <t>Magrahat Paschim</t>
  </si>
  <si>
    <t>Diamond Harbour</t>
  </si>
  <si>
    <t>Falta</t>
  </si>
  <si>
    <t>Satgachhia</t>
  </si>
  <si>
    <t>Bishnupur</t>
  </si>
  <si>
    <t>Sonarpur Dakshin</t>
  </si>
  <si>
    <t>Bhangar</t>
  </si>
  <si>
    <t>Kasba</t>
  </si>
  <si>
    <t>Jadavpur</t>
  </si>
  <si>
    <t>Sonarpur Uttar</t>
  </si>
  <si>
    <t>Tollyganj</t>
  </si>
  <si>
    <t>Behala Purba</t>
  </si>
  <si>
    <t>Behala Paschim</t>
  </si>
  <si>
    <t>Maheshtala</t>
  </si>
  <si>
    <t>Budge Budge</t>
  </si>
  <si>
    <t>Metiaburuz</t>
  </si>
  <si>
    <t>KOLKATA SOUTH</t>
  </si>
  <si>
    <t>Kolkata Port</t>
  </si>
  <si>
    <t>Bhabanipur</t>
  </si>
  <si>
    <t>Rashbehari</t>
  </si>
  <si>
    <t>Ballygunge</t>
  </si>
  <si>
    <t>KOLKATA NORTH</t>
  </si>
  <si>
    <t>Chowrangee</t>
  </si>
  <si>
    <t>Entally</t>
  </si>
  <si>
    <t>Beleghata</t>
  </si>
  <si>
    <t>Jorasanko</t>
  </si>
  <si>
    <t>Shyampukur</t>
  </si>
  <si>
    <t>Maniktola</t>
  </si>
  <si>
    <t>Kashipur-Belgachhia</t>
  </si>
  <si>
    <t>HOWRAH</t>
  </si>
  <si>
    <t>Bally</t>
  </si>
  <si>
    <t>Howrah Uttar</t>
  </si>
  <si>
    <t>Howrah Madhya</t>
  </si>
  <si>
    <t>Shibpur</t>
  </si>
  <si>
    <t>Howrah Dakshin</t>
  </si>
  <si>
    <t>Sankrail</t>
  </si>
  <si>
    <t>Panchla</t>
  </si>
  <si>
    <t>Uluberia Purba</t>
  </si>
  <si>
    <t>Uluberia Uttar</t>
  </si>
  <si>
    <t>Uluberia Dakshin</t>
  </si>
  <si>
    <t>Shyampur</t>
  </si>
  <si>
    <t>Bagnan</t>
  </si>
  <si>
    <t>Amta</t>
  </si>
  <si>
    <t>Udaynarayanpur</t>
  </si>
  <si>
    <t>Jagatballavpur</t>
  </si>
  <si>
    <t>Domjur</t>
  </si>
  <si>
    <t>HOOGHLY</t>
  </si>
  <si>
    <t>Uttarpara</t>
  </si>
  <si>
    <t>Sreerampur</t>
  </si>
  <si>
    <t>Champdani</t>
  </si>
  <si>
    <t>Singur</t>
  </si>
  <si>
    <t>Chandannagar</t>
  </si>
  <si>
    <t>Chunchura</t>
  </si>
  <si>
    <t>Balagarh</t>
  </si>
  <si>
    <t>Pandua</t>
  </si>
  <si>
    <t>Saptagram</t>
  </si>
  <si>
    <t>Chanditala</t>
  </si>
  <si>
    <t>Jangipara</t>
  </si>
  <si>
    <t>Haripal</t>
  </si>
  <si>
    <t>Dhanekhali</t>
  </si>
  <si>
    <t>Tarakeswar</t>
  </si>
  <si>
    <t>Pursurah</t>
  </si>
  <si>
    <t>Arambag</t>
  </si>
  <si>
    <t>Goghat</t>
  </si>
  <si>
    <t>Khanakul</t>
  </si>
  <si>
    <t>PURBO MEDINIPUR</t>
  </si>
  <si>
    <t>Tamluk</t>
  </si>
  <si>
    <t>Panskura Purba</t>
  </si>
  <si>
    <t>Panskura Paschim</t>
  </si>
  <si>
    <t>Moyna</t>
  </si>
  <si>
    <t>Nandakumar</t>
  </si>
  <si>
    <t>Mahishadal</t>
  </si>
  <si>
    <t>Haldia</t>
  </si>
  <si>
    <t>Nandigram</t>
  </si>
  <si>
    <t>Chandipur</t>
  </si>
  <si>
    <t>Patashpur</t>
  </si>
  <si>
    <t>Kanthi Uttar</t>
  </si>
  <si>
    <t>Bhagabanpur</t>
  </si>
  <si>
    <t>Khejuri</t>
  </si>
  <si>
    <t>Kanthi Dakshin</t>
  </si>
  <si>
    <t>Ramnagar</t>
  </si>
  <si>
    <t>Egra</t>
  </si>
  <si>
    <t>PASCHIM MEDINIPUR</t>
  </si>
  <si>
    <t>Dantan</t>
  </si>
  <si>
    <t>JHARGRAM</t>
  </si>
  <si>
    <t>Nayagram</t>
  </si>
  <si>
    <t>Gopiballavpur</t>
  </si>
  <si>
    <t>Jhargram</t>
  </si>
  <si>
    <t>Keshiary</t>
  </si>
  <si>
    <t>Kharagpur Sadar</t>
  </si>
  <si>
    <t>Narayangarh</t>
  </si>
  <si>
    <t>Sabang</t>
  </si>
  <si>
    <t>Pingla</t>
  </si>
  <si>
    <t>Kharagpur</t>
  </si>
  <si>
    <t>Debra</t>
  </si>
  <si>
    <t>Daspur</t>
  </si>
  <si>
    <t>Ghatal</t>
  </si>
  <si>
    <t>Chandrakona</t>
  </si>
  <si>
    <t>Garbeta</t>
  </si>
  <si>
    <t>Salboni</t>
  </si>
  <si>
    <t>Keshpur</t>
  </si>
  <si>
    <t>Medinipur</t>
  </si>
  <si>
    <t>Binpur</t>
  </si>
  <si>
    <t>PURULIA</t>
  </si>
  <si>
    <t>Bandwan</t>
  </si>
  <si>
    <t>Balarampur</t>
  </si>
  <si>
    <t>Baghmundi</t>
  </si>
  <si>
    <t>Joypur</t>
  </si>
  <si>
    <t>Purulia</t>
  </si>
  <si>
    <t>Manbazar</t>
  </si>
  <si>
    <t>Kashipur</t>
  </si>
  <si>
    <t>Para</t>
  </si>
  <si>
    <t>Raghunathpur</t>
  </si>
  <si>
    <t>BANKURA</t>
  </si>
  <si>
    <t>Saltora</t>
  </si>
  <si>
    <t>Chhatna</t>
  </si>
  <si>
    <t>Ranibandh</t>
  </si>
  <si>
    <t>Raipur</t>
  </si>
  <si>
    <t>Taldangra</t>
  </si>
  <si>
    <t>Bankura</t>
  </si>
  <si>
    <t>Barjora</t>
  </si>
  <si>
    <t>Onda</t>
  </si>
  <si>
    <t>Katulpur</t>
  </si>
  <si>
    <t>Indus</t>
  </si>
  <si>
    <t>Sonamukhi</t>
  </si>
  <si>
    <t>PURBA BARDHAMAN</t>
  </si>
  <si>
    <t>Khandaghosh</t>
  </si>
  <si>
    <t>Burdwan Dakshin</t>
  </si>
  <si>
    <t>Raina</t>
  </si>
  <si>
    <t>Jamalpur</t>
  </si>
  <si>
    <t>Monteswar</t>
  </si>
  <si>
    <t>Kalna</t>
  </si>
  <si>
    <t>Memari</t>
  </si>
  <si>
    <t>Burdwan Uttar</t>
  </si>
  <si>
    <t>Bhatar</t>
  </si>
  <si>
    <t>Purbasthali Dakshin</t>
  </si>
  <si>
    <t>Purbasthali Uttar</t>
  </si>
  <si>
    <t>Katwa</t>
  </si>
  <si>
    <t>Ketugram</t>
  </si>
  <si>
    <t>Mongalkote</t>
  </si>
  <si>
    <t>Ausgram</t>
  </si>
  <si>
    <t>Galsi</t>
  </si>
  <si>
    <t>PASCHIM BARDHAMAN</t>
  </si>
  <si>
    <t>Pandabeswar</t>
  </si>
  <si>
    <t>Durgapur Purba</t>
  </si>
  <si>
    <t>Durgapur Paschim</t>
  </si>
  <si>
    <t>Raniganj</t>
  </si>
  <si>
    <t>Jamuria</t>
  </si>
  <si>
    <t>Asansol Dakshin</t>
  </si>
  <si>
    <t>Asansol Uttar</t>
  </si>
  <si>
    <t>Kulti</t>
  </si>
  <si>
    <t>Barabani</t>
  </si>
  <si>
    <t>BIRBHUM</t>
  </si>
  <si>
    <t>Dubrajpur</t>
  </si>
  <si>
    <t>Suri</t>
  </si>
  <si>
    <t>Bolpur</t>
  </si>
  <si>
    <t>Nanoor</t>
  </si>
  <si>
    <t>Labhpur</t>
  </si>
  <si>
    <t>Sainthia</t>
  </si>
  <si>
    <t>Mayureswar</t>
  </si>
  <si>
    <t>Rampurhat</t>
  </si>
  <si>
    <t>Hansan</t>
  </si>
  <si>
    <t>Nalhati</t>
  </si>
  <si>
    <t>Murarai</t>
  </si>
  <si>
    <t>Total</t>
  </si>
  <si>
    <t>Row Labels</t>
  </si>
  <si>
    <t>Grand Total</t>
  </si>
  <si>
    <t>Sum of Male electors</t>
  </si>
  <si>
    <t>Sum of Female electors</t>
  </si>
  <si>
    <t>Sum of Other gender electors</t>
  </si>
  <si>
    <t>Sum of Total electors</t>
  </si>
  <si>
    <t>Sum of No of polling station</t>
  </si>
  <si>
    <t>Column Labels</t>
  </si>
  <si>
    <t>Values</t>
  </si>
  <si>
    <t>Sum of AC 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</si>
</sst>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0" fillId="0" borderId="10" xfId="0"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11" xfId="0" applyBorder="1"/>
    <xf numFmtId="0" fontId="0" fillId="0" borderId="12" xfId="0" applyBorder="1"/>
    <xf numFmtId="0" fontId="16" fillId="0" borderId="13" xfId="0" applyFont="1" applyBorder="1"/>
    <xf numFmtId="0" fontId="16" fillId="0" borderId="14" xfId="0" applyFont="1" applyBorder="1"/>
    <xf numFmtId="0" fontId="16" fillId="0" borderId="15" xfId="0" applyFont="1" applyBorder="1"/>
    <xf numFmtId="0" fontId="0" fillId="0" borderId="16" xfId="0" applyBorder="1"/>
    <xf numFmtId="0" fontId="0" fillId="0" borderId="17" xfId="0" applyBorder="1"/>
    <xf numFmtId="0" fontId="0" fillId="0" borderId="18"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FEEC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[SIR Data analysis.xlsx]Sheet1!PivotTable6</c:name>
    <c:fmtId val="3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Sheet1!$H$10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Sheet1!$G$11:$G$28</c:f>
              <c:multiLvlStrCache>
                <c:ptCount val="16"/>
                <c:lvl>
                  <c:pt idx="0">
                    <c:v>Amta</c:v>
                  </c:pt>
                  <c:pt idx="1">
                    <c:v>Bagnan</c:v>
                  </c:pt>
                  <c:pt idx="2">
                    <c:v>Bally</c:v>
                  </c:pt>
                  <c:pt idx="3">
                    <c:v>Domjur</c:v>
                  </c:pt>
                  <c:pt idx="4">
                    <c:v>Howrah Dakshin</c:v>
                  </c:pt>
                  <c:pt idx="5">
                    <c:v>Howrah Madhya</c:v>
                  </c:pt>
                  <c:pt idx="6">
                    <c:v>Howrah Uttar</c:v>
                  </c:pt>
                  <c:pt idx="7">
                    <c:v>Jagatballavpur</c:v>
                  </c:pt>
                  <c:pt idx="8">
                    <c:v>Panchla</c:v>
                  </c:pt>
                  <c:pt idx="9">
                    <c:v>Sankrail</c:v>
                  </c:pt>
                  <c:pt idx="10">
                    <c:v>Shibpur</c:v>
                  </c:pt>
                  <c:pt idx="11">
                    <c:v>Shyampur</c:v>
                  </c:pt>
                  <c:pt idx="12">
                    <c:v>Udaynarayanpur</c:v>
                  </c:pt>
                  <c:pt idx="13">
                    <c:v>Uluberia Dakshin</c:v>
                  </c:pt>
                  <c:pt idx="14">
                    <c:v>Uluberia Purba</c:v>
                  </c:pt>
                  <c:pt idx="15">
                    <c:v>Uluberia Uttar</c:v>
                  </c:pt>
                </c:lvl>
                <c:lvl>
                  <c:pt idx="0">
                    <c:v>HOWRAH</c:v>
                  </c:pt>
                </c:lvl>
              </c:multiLvlStrCache>
            </c:multiLvlStrRef>
          </c:cat>
          <c:val>
            <c:numRef>
              <c:f>Sheet1!$H$11:$H$28</c:f>
              <c:numCache>
                <c:formatCode>General</c:formatCode>
                <c:ptCount val="16"/>
                <c:pt idx="0">
                  <c:v>292</c:v>
                </c:pt>
                <c:pt idx="1">
                  <c:v>253</c:v>
                </c:pt>
                <c:pt idx="2">
                  <c:v>196</c:v>
                </c:pt>
                <c:pt idx="3">
                  <c:v>316</c:v>
                </c:pt>
                <c:pt idx="4">
                  <c:v>317</c:v>
                </c:pt>
                <c:pt idx="5">
                  <c:v>313</c:v>
                </c:pt>
                <c:pt idx="6">
                  <c:v>234</c:v>
                </c:pt>
                <c:pt idx="7">
                  <c:v>319</c:v>
                </c:pt>
                <c:pt idx="8">
                  <c:v>292</c:v>
                </c:pt>
                <c:pt idx="9">
                  <c:v>303</c:v>
                </c:pt>
                <c:pt idx="10">
                  <c:v>240</c:v>
                </c:pt>
                <c:pt idx="11">
                  <c:v>303</c:v>
                </c:pt>
                <c:pt idx="12">
                  <c:v>261</c:v>
                </c:pt>
                <c:pt idx="13">
                  <c:v>263</c:v>
                </c:pt>
                <c:pt idx="14">
                  <c:v>248</c:v>
                </c:pt>
                <c:pt idx="15">
                  <c:v>243</c:v>
                </c:pt>
              </c:numCache>
            </c:numRef>
          </c:val>
          <c:smooth val="0"/>
          <c:extLst>
            <c:ext xmlns:c16="http://schemas.microsoft.com/office/drawing/2014/chart" uri="{C3380CC4-5D6E-409C-BE32-E72D297353CC}">
              <c16:uniqueId val="{00000000-93CB-47B5-B52B-9498FBFD28D3}"/>
            </c:ext>
          </c:extLst>
        </c:ser>
        <c:dLbls>
          <c:showLegendKey val="0"/>
          <c:showVal val="0"/>
          <c:showCatName val="0"/>
          <c:showSerName val="0"/>
          <c:showPercent val="0"/>
          <c:showBubbleSize val="0"/>
        </c:dLbls>
        <c:marker val="1"/>
        <c:smooth val="0"/>
        <c:axId val="2071972784"/>
        <c:axId val="2071979024"/>
      </c:lineChart>
      <c:catAx>
        <c:axId val="2071972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79024"/>
        <c:crosses val="autoZero"/>
        <c:auto val="1"/>
        <c:lblAlgn val="ctr"/>
        <c:lblOffset val="100"/>
        <c:noMultiLvlLbl val="0"/>
      </c:catAx>
      <c:valAx>
        <c:axId val="207197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1972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[SIR Data analysis.xlsx]Sheet1!PivotTable6</c:name>
    <c:fmtId val="4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Sheet1!$H$10</c:f>
              <c:strCache>
                <c:ptCount val="1"/>
                <c:pt idx="0">
                  <c:v>Total</c:v>
                </c:pt>
              </c:strCache>
            </c:strRef>
          </c:tx>
          <c:spPr>
            <a:ln w="28575" cap="rnd">
              <a:solidFill>
                <a:schemeClr val="accent1"/>
              </a:solidFill>
              <a:round/>
            </a:ln>
            <a:effectLst/>
          </c:spPr>
          <c:marker>
            <c:symbol val="none"/>
          </c:marker>
          <c:cat>
            <c:multiLvlStrRef>
              <c:f>Sheet1!$G$11:$G$28</c:f>
              <c:multiLvlStrCache>
                <c:ptCount val="16"/>
                <c:lvl>
                  <c:pt idx="0">
                    <c:v>Amta</c:v>
                  </c:pt>
                  <c:pt idx="1">
                    <c:v>Bagnan</c:v>
                  </c:pt>
                  <c:pt idx="2">
                    <c:v>Bally</c:v>
                  </c:pt>
                  <c:pt idx="3">
                    <c:v>Domjur</c:v>
                  </c:pt>
                  <c:pt idx="4">
                    <c:v>Howrah Dakshin</c:v>
                  </c:pt>
                  <c:pt idx="5">
                    <c:v>Howrah Madhya</c:v>
                  </c:pt>
                  <c:pt idx="6">
                    <c:v>Howrah Uttar</c:v>
                  </c:pt>
                  <c:pt idx="7">
                    <c:v>Jagatballavpur</c:v>
                  </c:pt>
                  <c:pt idx="8">
                    <c:v>Panchla</c:v>
                  </c:pt>
                  <c:pt idx="9">
                    <c:v>Sankrail</c:v>
                  </c:pt>
                  <c:pt idx="10">
                    <c:v>Shibpur</c:v>
                  </c:pt>
                  <c:pt idx="11">
                    <c:v>Shyampur</c:v>
                  </c:pt>
                  <c:pt idx="12">
                    <c:v>Udaynarayanpur</c:v>
                  </c:pt>
                  <c:pt idx="13">
                    <c:v>Uluberia Dakshin</c:v>
                  </c:pt>
                  <c:pt idx="14">
                    <c:v>Uluberia Purba</c:v>
                  </c:pt>
                  <c:pt idx="15">
                    <c:v>Uluberia Uttar</c:v>
                  </c:pt>
                </c:lvl>
                <c:lvl>
                  <c:pt idx="0">
                    <c:v>HOWRAH</c:v>
                  </c:pt>
                </c:lvl>
              </c:multiLvlStrCache>
            </c:multiLvlStrRef>
          </c:cat>
          <c:val>
            <c:numRef>
              <c:f>Sheet1!$H$11:$H$28</c:f>
              <c:numCache>
                <c:formatCode>General</c:formatCode>
                <c:ptCount val="16"/>
                <c:pt idx="0">
                  <c:v>292</c:v>
                </c:pt>
                <c:pt idx="1">
                  <c:v>253</c:v>
                </c:pt>
                <c:pt idx="2">
                  <c:v>196</c:v>
                </c:pt>
                <c:pt idx="3">
                  <c:v>316</c:v>
                </c:pt>
                <c:pt idx="4">
                  <c:v>317</c:v>
                </c:pt>
                <c:pt idx="5">
                  <c:v>313</c:v>
                </c:pt>
                <c:pt idx="6">
                  <c:v>234</c:v>
                </c:pt>
                <c:pt idx="7">
                  <c:v>319</c:v>
                </c:pt>
                <c:pt idx="8">
                  <c:v>292</c:v>
                </c:pt>
                <c:pt idx="9">
                  <c:v>303</c:v>
                </c:pt>
                <c:pt idx="10">
                  <c:v>240</c:v>
                </c:pt>
                <c:pt idx="11">
                  <c:v>303</c:v>
                </c:pt>
                <c:pt idx="12">
                  <c:v>261</c:v>
                </c:pt>
                <c:pt idx="13">
                  <c:v>263</c:v>
                </c:pt>
                <c:pt idx="14">
                  <c:v>248</c:v>
                </c:pt>
                <c:pt idx="15">
                  <c:v>243</c:v>
                </c:pt>
              </c:numCache>
            </c:numRef>
          </c:val>
          <c:extLst>
            <c:ext xmlns:c16="http://schemas.microsoft.com/office/drawing/2014/chart" uri="{C3380CC4-5D6E-409C-BE32-E72D297353CC}">
              <c16:uniqueId val="{00000000-BAE3-497F-9269-1150D31F4DF0}"/>
            </c:ext>
          </c:extLst>
        </c:ser>
        <c:dLbls>
          <c:showLegendKey val="0"/>
          <c:showVal val="0"/>
          <c:showCatName val="0"/>
          <c:showSerName val="0"/>
          <c:showPercent val="0"/>
          <c:showBubbleSize val="0"/>
        </c:dLbls>
        <c:axId val="317610640"/>
        <c:axId val="317629840"/>
      </c:radarChart>
      <c:catAx>
        <c:axId val="31761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29840"/>
        <c:crosses val="autoZero"/>
        <c:auto val="1"/>
        <c:lblAlgn val="ctr"/>
        <c:lblOffset val="100"/>
        <c:noMultiLvlLbl val="0"/>
      </c:catAx>
      <c:valAx>
        <c:axId val="3176298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61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[SIR Data analysis.xlsx]Sheet1!PivotTable2</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Sheet1!$K$10:$K$11</c:f>
              <c:strCache>
                <c:ptCount val="1"/>
                <c:pt idx="0">
                  <c:v>HOWRAH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Sheet1!$J$12:$J$14</c:f>
              <c:strCache>
                <c:ptCount val="3"/>
                <c:pt idx="0">
                  <c:v>Sum of Male electors</c:v>
                </c:pt>
                <c:pt idx="1">
                  <c:v>Sum of Female electors</c:v>
                </c:pt>
                <c:pt idx="2">
                  <c:v>Sum of Other gender electors</c:v>
                </c:pt>
              </c:strCache>
            </c:strRef>
          </c:cat>
          <c:val>
            <c:numRef>
              <c:f>Sheet1!$K$12:$K$14</c:f>
              <c:numCache>
                <c:formatCode>General</c:formatCode>
                <c:ptCount val="3"/>
                <c:pt idx="0">
                  <c:v>1889757</c:v>
                </c:pt>
                <c:pt idx="1">
                  <c:v>1803725</c:v>
                </c:pt>
                <c:pt idx="2">
                  <c:v>89</c:v>
                </c:pt>
              </c:numCache>
            </c:numRef>
          </c:val>
          <c:extLst>
            <c:ext xmlns:c16="http://schemas.microsoft.com/office/drawing/2014/chart" uri="{C3380CC4-5D6E-409C-BE32-E72D297353CC}">
              <c16:uniqueId val="{00000000-4888-486B-81CB-99DED986C4EB}"/>
            </c:ext>
          </c:extLst>
        </c:ser>
        <c:dLbls>
          <c:dLblPos val="ctr"/>
          <c:showLegendKey val="0"/>
          <c:showVal val="1"/>
          <c:showCatName val="0"/>
          <c:showSerName val="0"/>
          <c:showPercent val="0"/>
          <c:showBubbleSize val="0"/>
        </c:dLbls>
        <c:gapWidth val="150"/>
        <c:overlap val="100"/>
        <c:axId val="290972768"/>
        <c:axId val="290979008"/>
      </c:barChart>
      <c:catAx>
        <c:axId val="290972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979008"/>
        <c:crosses val="autoZero"/>
        <c:auto val="1"/>
        <c:lblAlgn val="ctr"/>
        <c:lblOffset val="100"/>
        <c:noMultiLvlLbl val="0"/>
      </c:catAx>
      <c:valAx>
        <c:axId val="2909790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972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[SIR Data analysis.xlsx]Sheet1!PivotTable1</c:name>
    <c:fmtId val="5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0514536632276772"/>
          <c:y val="0.17983891926269929"/>
          <c:w val="0.60167072544212308"/>
          <c:h val="0.44094903495221172"/>
        </c:manualLayout>
      </c:layout>
      <c:barChart>
        <c:barDir val="col"/>
        <c:grouping val="clustered"/>
        <c:varyColors val="0"/>
        <c:ser>
          <c:idx val="0"/>
          <c:order val="0"/>
          <c:tx>
            <c:strRef>
              <c:f>Sheet1!$B$1</c:f>
              <c:strCache>
                <c:ptCount val="1"/>
                <c:pt idx="0">
                  <c:v>Sum of Male electors</c:v>
                </c:pt>
              </c:strCache>
            </c:strRef>
          </c:tx>
          <c:spPr>
            <a:solidFill>
              <a:schemeClr val="accent1"/>
            </a:solidFill>
            <a:ln>
              <a:noFill/>
            </a:ln>
            <a:effectLst/>
          </c:spPr>
          <c:invertIfNegative val="0"/>
          <c:cat>
            <c:strRef>
              <c:f>Sheet1!$A$2:$A$26</c:f>
              <c:strCache>
                <c:ptCount val="24"/>
                <c:pt idx="0">
                  <c:v>ALIPURDUAR</c:v>
                </c:pt>
                <c:pt idx="1">
                  <c:v>BANKURA</c:v>
                </c:pt>
                <c:pt idx="2">
                  <c:v>BIRBHUM</c:v>
                </c:pt>
                <c:pt idx="3">
                  <c:v>COOCHBEHAR</c:v>
                </c:pt>
                <c:pt idx="4">
                  <c:v>DAKSHIN DINAJPUR</c:v>
                </c:pt>
                <c:pt idx="5">
                  <c:v>DARJEELING</c:v>
                </c:pt>
                <c:pt idx="6">
                  <c:v>HOOGHLY</c:v>
                </c:pt>
                <c:pt idx="7">
                  <c:v>HOWRAH</c:v>
                </c:pt>
                <c:pt idx="8">
                  <c:v>JALPAIGURI</c:v>
                </c:pt>
                <c:pt idx="9">
                  <c:v>JHARGRAM</c:v>
                </c:pt>
                <c:pt idx="10">
                  <c:v>Kalimpong</c:v>
                </c:pt>
                <c:pt idx="11">
                  <c:v>KOLKATA NORTH</c:v>
                </c:pt>
                <c:pt idx="12">
                  <c:v>KOLKATA SOUTH</c:v>
                </c:pt>
                <c:pt idx="13">
                  <c:v>MALDA</c:v>
                </c:pt>
                <c:pt idx="14">
                  <c:v>MURSHIDABAD</c:v>
                </c:pt>
                <c:pt idx="15">
                  <c:v>NADIA</c:v>
                </c:pt>
                <c:pt idx="16">
                  <c:v>NORTH 24 PARGANAS</c:v>
                </c:pt>
                <c:pt idx="17">
                  <c:v>PASCHIM BARDHAMAN</c:v>
                </c:pt>
                <c:pt idx="18">
                  <c:v>PASCHIM MEDINIPUR</c:v>
                </c:pt>
                <c:pt idx="19">
                  <c:v>PURBA BARDHAMAN</c:v>
                </c:pt>
                <c:pt idx="20">
                  <c:v>PURBO MEDINIPUR</c:v>
                </c:pt>
                <c:pt idx="21">
                  <c:v>PURULIA</c:v>
                </c:pt>
                <c:pt idx="22">
                  <c:v>SOUTH 24 PARGANAS</c:v>
                </c:pt>
                <c:pt idx="23">
                  <c:v>UTTAR DINAJPUR</c:v>
                </c:pt>
              </c:strCache>
            </c:strRef>
          </c:cat>
          <c:val>
            <c:numRef>
              <c:f>Sheet1!$B$2:$B$26</c:f>
              <c:numCache>
                <c:formatCode>General</c:formatCode>
                <c:ptCount val="24"/>
                <c:pt idx="0">
                  <c:v>609618</c:v>
                </c:pt>
                <c:pt idx="1">
                  <c:v>1476646</c:v>
                </c:pt>
                <c:pt idx="2">
                  <c:v>1406811</c:v>
                </c:pt>
                <c:pt idx="3">
                  <c:v>1232150</c:v>
                </c:pt>
                <c:pt idx="4">
                  <c:v>644287</c:v>
                </c:pt>
                <c:pt idx="5">
                  <c:v>582980</c:v>
                </c:pt>
                <c:pt idx="6">
                  <c:v>2244491</c:v>
                </c:pt>
                <c:pt idx="7">
                  <c:v>1889757</c:v>
                </c:pt>
                <c:pt idx="8">
                  <c:v>903140</c:v>
                </c:pt>
                <c:pt idx="9">
                  <c:v>453947</c:v>
                </c:pt>
                <c:pt idx="10">
                  <c:v>101506</c:v>
                </c:pt>
                <c:pt idx="11">
                  <c:v>572656</c:v>
                </c:pt>
                <c:pt idx="12">
                  <c:v>351040</c:v>
                </c:pt>
                <c:pt idx="13">
                  <c:v>1543907</c:v>
                </c:pt>
                <c:pt idx="14">
                  <c:v>2822566</c:v>
                </c:pt>
                <c:pt idx="15">
                  <c:v>2175904</c:v>
                </c:pt>
                <c:pt idx="16">
                  <c:v>3813287</c:v>
                </c:pt>
                <c:pt idx="17">
                  <c:v>1030857</c:v>
                </c:pt>
                <c:pt idx="18">
                  <c:v>1936948</c:v>
                </c:pt>
                <c:pt idx="19">
                  <c:v>2019394</c:v>
                </c:pt>
                <c:pt idx="20">
                  <c:v>2134947</c:v>
                </c:pt>
                <c:pt idx="21">
                  <c:v>1148537</c:v>
                </c:pt>
                <c:pt idx="22">
                  <c:v>3970011</c:v>
                </c:pt>
                <c:pt idx="23">
                  <c:v>1134004</c:v>
                </c:pt>
              </c:numCache>
            </c:numRef>
          </c:val>
          <c:extLst>
            <c:ext xmlns:c16="http://schemas.microsoft.com/office/drawing/2014/chart" uri="{C3380CC4-5D6E-409C-BE32-E72D297353CC}">
              <c16:uniqueId val="{00000004-89C3-4A74-842C-EF7B6E3D8004}"/>
            </c:ext>
          </c:extLst>
        </c:ser>
        <c:ser>
          <c:idx val="1"/>
          <c:order val="1"/>
          <c:tx>
            <c:strRef>
              <c:f>Sheet1!$C$1</c:f>
              <c:strCache>
                <c:ptCount val="1"/>
                <c:pt idx="0">
                  <c:v>Sum of Female electors</c:v>
                </c:pt>
              </c:strCache>
            </c:strRef>
          </c:tx>
          <c:invertIfNegative val="0"/>
          <c:cat>
            <c:strRef>
              <c:f>Sheet1!$A$2:$A$26</c:f>
              <c:strCache>
                <c:ptCount val="24"/>
                <c:pt idx="0">
                  <c:v>ALIPURDUAR</c:v>
                </c:pt>
                <c:pt idx="1">
                  <c:v>BANKURA</c:v>
                </c:pt>
                <c:pt idx="2">
                  <c:v>BIRBHUM</c:v>
                </c:pt>
                <c:pt idx="3">
                  <c:v>COOCHBEHAR</c:v>
                </c:pt>
                <c:pt idx="4">
                  <c:v>DAKSHIN DINAJPUR</c:v>
                </c:pt>
                <c:pt idx="5">
                  <c:v>DARJEELING</c:v>
                </c:pt>
                <c:pt idx="6">
                  <c:v>HOOGHLY</c:v>
                </c:pt>
                <c:pt idx="7">
                  <c:v>HOWRAH</c:v>
                </c:pt>
                <c:pt idx="8">
                  <c:v>JALPAIGURI</c:v>
                </c:pt>
                <c:pt idx="9">
                  <c:v>JHARGRAM</c:v>
                </c:pt>
                <c:pt idx="10">
                  <c:v>Kalimpong</c:v>
                </c:pt>
                <c:pt idx="11">
                  <c:v>KOLKATA NORTH</c:v>
                </c:pt>
                <c:pt idx="12">
                  <c:v>KOLKATA SOUTH</c:v>
                </c:pt>
                <c:pt idx="13">
                  <c:v>MALDA</c:v>
                </c:pt>
                <c:pt idx="14">
                  <c:v>MURSHIDABAD</c:v>
                </c:pt>
                <c:pt idx="15">
                  <c:v>NADIA</c:v>
                </c:pt>
                <c:pt idx="16">
                  <c:v>NORTH 24 PARGANAS</c:v>
                </c:pt>
                <c:pt idx="17">
                  <c:v>PASCHIM BARDHAMAN</c:v>
                </c:pt>
                <c:pt idx="18">
                  <c:v>PASCHIM MEDINIPUR</c:v>
                </c:pt>
                <c:pt idx="19">
                  <c:v>PURBA BARDHAMAN</c:v>
                </c:pt>
                <c:pt idx="20">
                  <c:v>PURBO MEDINIPUR</c:v>
                </c:pt>
                <c:pt idx="21">
                  <c:v>PURULIA</c:v>
                </c:pt>
                <c:pt idx="22">
                  <c:v>SOUTH 24 PARGANAS</c:v>
                </c:pt>
                <c:pt idx="23">
                  <c:v>UTTAR DINAJPUR</c:v>
                </c:pt>
              </c:strCache>
            </c:strRef>
          </c:cat>
          <c:val>
            <c:numRef>
              <c:f>Sheet1!$C$2:$C$26</c:f>
              <c:numCache>
                <c:formatCode>General</c:formatCode>
                <c:ptCount val="24"/>
                <c:pt idx="0">
                  <c:v>594562</c:v>
                </c:pt>
                <c:pt idx="1">
                  <c:v>1424361</c:v>
                </c:pt>
                <c:pt idx="2">
                  <c:v>1359578</c:v>
                </c:pt>
                <c:pt idx="3">
                  <c:v>1145247</c:v>
                </c:pt>
                <c:pt idx="4">
                  <c:v>606230</c:v>
                </c:pt>
                <c:pt idx="5">
                  <c:v>587633</c:v>
                </c:pt>
                <c:pt idx="6">
                  <c:v>2211642</c:v>
                </c:pt>
                <c:pt idx="7">
                  <c:v>1803725</c:v>
                </c:pt>
                <c:pt idx="8">
                  <c:v>877753</c:v>
                </c:pt>
                <c:pt idx="9">
                  <c:v>448061</c:v>
                </c:pt>
                <c:pt idx="10">
                  <c:v>102025</c:v>
                </c:pt>
                <c:pt idx="11">
                  <c:v>543254</c:v>
                </c:pt>
                <c:pt idx="12">
                  <c:v>340243</c:v>
                </c:pt>
                <c:pt idx="13">
                  <c:v>1453671</c:v>
                </c:pt>
                <c:pt idx="14">
                  <c:v>2662598</c:v>
                </c:pt>
                <c:pt idx="15">
                  <c:v>2026229</c:v>
                </c:pt>
                <c:pt idx="16">
                  <c:v>3695051</c:v>
                </c:pt>
                <c:pt idx="17">
                  <c:v>990079</c:v>
                </c:pt>
                <c:pt idx="18">
                  <c:v>1875581</c:v>
                </c:pt>
                <c:pt idx="19">
                  <c:v>1951175</c:v>
                </c:pt>
                <c:pt idx="20">
                  <c:v>2006420</c:v>
                </c:pt>
                <c:pt idx="21">
                  <c:v>1089475</c:v>
                </c:pt>
                <c:pt idx="22">
                  <c:v>3805985</c:v>
                </c:pt>
                <c:pt idx="23">
                  <c:v>1015259</c:v>
                </c:pt>
              </c:numCache>
            </c:numRef>
          </c:val>
          <c:extLst>
            <c:ext xmlns:c16="http://schemas.microsoft.com/office/drawing/2014/chart" uri="{C3380CC4-5D6E-409C-BE32-E72D297353CC}">
              <c16:uniqueId val="{00000005-89C3-4A74-842C-EF7B6E3D8004}"/>
            </c:ext>
          </c:extLst>
        </c:ser>
        <c:ser>
          <c:idx val="2"/>
          <c:order val="2"/>
          <c:tx>
            <c:strRef>
              <c:f>Sheet1!$D$1</c:f>
              <c:strCache>
                <c:ptCount val="1"/>
                <c:pt idx="0">
                  <c:v>Sum of Other gender electors</c:v>
                </c:pt>
              </c:strCache>
            </c:strRef>
          </c:tx>
          <c:invertIfNegative val="0"/>
          <c:cat>
            <c:strRef>
              <c:f>Sheet1!$A$2:$A$26</c:f>
              <c:strCache>
                <c:ptCount val="24"/>
                <c:pt idx="0">
                  <c:v>ALIPURDUAR</c:v>
                </c:pt>
                <c:pt idx="1">
                  <c:v>BANKURA</c:v>
                </c:pt>
                <c:pt idx="2">
                  <c:v>BIRBHUM</c:v>
                </c:pt>
                <c:pt idx="3">
                  <c:v>COOCHBEHAR</c:v>
                </c:pt>
                <c:pt idx="4">
                  <c:v>DAKSHIN DINAJPUR</c:v>
                </c:pt>
                <c:pt idx="5">
                  <c:v>DARJEELING</c:v>
                </c:pt>
                <c:pt idx="6">
                  <c:v>HOOGHLY</c:v>
                </c:pt>
                <c:pt idx="7">
                  <c:v>HOWRAH</c:v>
                </c:pt>
                <c:pt idx="8">
                  <c:v>JALPAIGURI</c:v>
                </c:pt>
                <c:pt idx="9">
                  <c:v>JHARGRAM</c:v>
                </c:pt>
                <c:pt idx="10">
                  <c:v>Kalimpong</c:v>
                </c:pt>
                <c:pt idx="11">
                  <c:v>KOLKATA NORTH</c:v>
                </c:pt>
                <c:pt idx="12">
                  <c:v>KOLKATA SOUTH</c:v>
                </c:pt>
                <c:pt idx="13">
                  <c:v>MALDA</c:v>
                </c:pt>
                <c:pt idx="14">
                  <c:v>MURSHIDABAD</c:v>
                </c:pt>
                <c:pt idx="15">
                  <c:v>NADIA</c:v>
                </c:pt>
                <c:pt idx="16">
                  <c:v>NORTH 24 PARGANAS</c:v>
                </c:pt>
                <c:pt idx="17">
                  <c:v>PASCHIM BARDHAMAN</c:v>
                </c:pt>
                <c:pt idx="18">
                  <c:v>PASCHIM MEDINIPUR</c:v>
                </c:pt>
                <c:pt idx="19">
                  <c:v>PURBA BARDHAMAN</c:v>
                </c:pt>
                <c:pt idx="20">
                  <c:v>PURBO MEDINIPUR</c:v>
                </c:pt>
                <c:pt idx="21">
                  <c:v>PURULIA</c:v>
                </c:pt>
                <c:pt idx="22">
                  <c:v>SOUTH 24 PARGANAS</c:v>
                </c:pt>
                <c:pt idx="23">
                  <c:v>UTTAR DINAJPUR</c:v>
                </c:pt>
              </c:strCache>
            </c:strRef>
          </c:cat>
          <c:val>
            <c:numRef>
              <c:f>Sheet1!$D$2:$D$26</c:f>
              <c:numCache>
                <c:formatCode>General</c:formatCode>
                <c:ptCount val="24"/>
                <c:pt idx="0">
                  <c:v>20</c:v>
                </c:pt>
                <c:pt idx="1">
                  <c:v>2</c:v>
                </c:pt>
                <c:pt idx="2">
                  <c:v>35</c:v>
                </c:pt>
                <c:pt idx="3">
                  <c:v>22</c:v>
                </c:pt>
                <c:pt idx="4">
                  <c:v>47</c:v>
                </c:pt>
                <c:pt idx="5">
                  <c:v>30</c:v>
                </c:pt>
                <c:pt idx="6">
                  <c:v>92</c:v>
                </c:pt>
                <c:pt idx="7">
                  <c:v>89</c:v>
                </c:pt>
                <c:pt idx="8">
                  <c:v>22</c:v>
                </c:pt>
                <c:pt idx="9">
                  <c:v>6</c:v>
                </c:pt>
                <c:pt idx="10">
                  <c:v>0</c:v>
                </c:pt>
                <c:pt idx="11">
                  <c:v>39</c:v>
                </c:pt>
                <c:pt idx="12">
                  <c:v>23</c:v>
                </c:pt>
                <c:pt idx="13">
                  <c:v>82</c:v>
                </c:pt>
                <c:pt idx="14">
                  <c:v>84</c:v>
                </c:pt>
                <c:pt idx="15">
                  <c:v>82</c:v>
                </c:pt>
                <c:pt idx="16">
                  <c:v>210</c:v>
                </c:pt>
                <c:pt idx="17">
                  <c:v>30</c:v>
                </c:pt>
                <c:pt idx="18">
                  <c:v>27</c:v>
                </c:pt>
                <c:pt idx="19">
                  <c:v>51</c:v>
                </c:pt>
                <c:pt idx="20">
                  <c:v>45</c:v>
                </c:pt>
                <c:pt idx="21">
                  <c:v>14</c:v>
                </c:pt>
                <c:pt idx="22">
                  <c:v>280</c:v>
                </c:pt>
                <c:pt idx="23">
                  <c:v>70</c:v>
                </c:pt>
              </c:numCache>
            </c:numRef>
          </c:val>
          <c:extLst>
            <c:ext xmlns:c16="http://schemas.microsoft.com/office/drawing/2014/chart" uri="{C3380CC4-5D6E-409C-BE32-E72D297353CC}">
              <c16:uniqueId val="{00000006-89C3-4A74-842C-EF7B6E3D8004}"/>
            </c:ext>
          </c:extLst>
        </c:ser>
        <c:dLbls>
          <c:showLegendKey val="0"/>
          <c:showVal val="0"/>
          <c:showCatName val="0"/>
          <c:showSerName val="0"/>
          <c:showPercent val="0"/>
          <c:showBubbleSize val="0"/>
        </c:dLbls>
        <c:gapWidth val="219"/>
        <c:overlap val="-27"/>
        <c:axId val="292316688"/>
        <c:axId val="292317648"/>
      </c:barChart>
      <c:catAx>
        <c:axId val="29231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17648"/>
        <c:crosses val="autoZero"/>
        <c:auto val="1"/>
        <c:lblAlgn val="ctr"/>
        <c:lblOffset val="100"/>
        <c:noMultiLvlLbl val="0"/>
      </c:catAx>
      <c:valAx>
        <c:axId val="29231764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92316688"/>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[SIR Data analysis.xlsx]Sheet1!PivotTable3</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03825375816909"/>
          <c:y val="0.23481168513864925"/>
          <c:w val="0.43755079128836061"/>
          <c:h val="0.52986684897661984"/>
        </c:manualLayout>
      </c:layout>
      <c:barChart>
        <c:barDir val="col"/>
        <c:grouping val="clustered"/>
        <c:varyColors val="0"/>
        <c:ser>
          <c:idx val="0"/>
          <c:order val="0"/>
          <c:tx>
            <c:strRef>
              <c:f>Sheet1!$B$32</c:f>
              <c:strCache>
                <c:ptCount val="1"/>
                <c:pt idx="0">
                  <c:v>Total</c:v>
                </c:pt>
              </c:strCache>
            </c:strRef>
          </c:tx>
          <c:spPr>
            <a:solidFill>
              <a:schemeClr val="accent1"/>
            </a:solidFill>
            <a:ln>
              <a:noFill/>
            </a:ln>
            <a:effectLst/>
          </c:spPr>
          <c:invertIfNegative val="0"/>
          <c:cat>
            <c:strRef>
              <c:f>Sheet1!$A$33:$A$34</c:f>
              <c:strCache>
                <c:ptCount val="1"/>
                <c:pt idx="0">
                  <c:v>HOWRAH</c:v>
                </c:pt>
              </c:strCache>
            </c:strRef>
          </c:cat>
          <c:val>
            <c:numRef>
              <c:f>Sheet1!$B$33:$B$34</c:f>
              <c:numCache>
                <c:formatCode>General</c:formatCode>
                <c:ptCount val="1"/>
                <c:pt idx="0">
                  <c:v>2824</c:v>
                </c:pt>
              </c:numCache>
            </c:numRef>
          </c:val>
          <c:extLst>
            <c:ext xmlns:c16="http://schemas.microsoft.com/office/drawing/2014/chart" uri="{C3380CC4-5D6E-409C-BE32-E72D297353CC}">
              <c16:uniqueId val="{00000000-D6C4-4967-A2AB-469FD76EEEFF}"/>
            </c:ext>
          </c:extLst>
        </c:ser>
        <c:dLbls>
          <c:showLegendKey val="0"/>
          <c:showVal val="0"/>
          <c:showCatName val="0"/>
          <c:showSerName val="0"/>
          <c:showPercent val="0"/>
          <c:showBubbleSize val="0"/>
        </c:dLbls>
        <c:gapWidth val="219"/>
        <c:overlap val="-27"/>
        <c:axId val="292316688"/>
        <c:axId val="292317648"/>
      </c:barChart>
      <c:catAx>
        <c:axId val="292316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17648"/>
        <c:crosses val="autoZero"/>
        <c:auto val="1"/>
        <c:lblAlgn val="ctr"/>
        <c:lblOffset val="100"/>
        <c:noMultiLvlLbl val="0"/>
      </c:catAx>
      <c:valAx>
        <c:axId val="292317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316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320040</xdr:colOff>
      <xdr:row>0</xdr:row>
      <xdr:rowOff>0</xdr:rowOff>
    </xdr:from>
    <xdr:to>
      <xdr:col>22</xdr:col>
      <xdr:colOff>336840</xdr:colOff>
      <xdr:row>41</xdr:row>
      <xdr:rowOff>97920</xdr:rowOff>
    </xdr:to>
    <xdr:sp macro="" textlink="">
      <xdr:nvSpPr>
        <xdr:cNvPr id="2" name="Rectangle 1">
          <a:extLst>
            <a:ext uri="{FF2B5EF4-FFF2-40B4-BE49-F238E27FC236}">
              <a16:creationId xmlns:a16="http://schemas.microsoft.com/office/drawing/2014/main" id="{EA1ABBEB-B073-9DDB-CD1C-6F4E20354EC3}"/>
            </a:ext>
          </a:extLst>
        </xdr:cNvPr>
        <xdr:cNvSpPr/>
      </xdr:nvSpPr>
      <xdr:spPr>
        <a:xfrm>
          <a:off x="320040" y="0"/>
          <a:ext cx="13373483" cy="7717920"/>
        </a:xfrm>
        <a:prstGeom prst="rect">
          <a:avLst/>
        </a:prstGeom>
        <a:solidFill>
          <a:schemeClr val="bg1">
            <a:lumMod val="95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0</xdr:col>
      <xdr:colOff>411479</xdr:colOff>
      <xdr:row>1</xdr:row>
      <xdr:rowOff>15240</xdr:rowOff>
    </xdr:from>
    <xdr:to>
      <xdr:col>15</xdr:col>
      <xdr:colOff>140562</xdr:colOff>
      <xdr:row>4</xdr:row>
      <xdr:rowOff>44388</xdr:rowOff>
    </xdr:to>
    <xdr:sp macro="" textlink="">
      <xdr:nvSpPr>
        <xdr:cNvPr id="3" name="Rectangle: Rounded Corners 2">
          <a:extLst>
            <a:ext uri="{FF2B5EF4-FFF2-40B4-BE49-F238E27FC236}">
              <a16:creationId xmlns:a16="http://schemas.microsoft.com/office/drawing/2014/main" id="{778F0282-6872-433C-1492-560C35A02897}"/>
            </a:ext>
          </a:extLst>
        </xdr:cNvPr>
        <xdr:cNvSpPr/>
      </xdr:nvSpPr>
      <xdr:spPr>
        <a:xfrm>
          <a:off x="411479" y="200191"/>
          <a:ext cx="8828695" cy="584003"/>
        </a:xfrm>
        <a:prstGeom prst="roundRect">
          <a:avLst/>
        </a:prstGeom>
        <a:solidFill>
          <a:schemeClr val="bg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a:p>
      </xdr:txBody>
    </xdr:sp>
    <xdr:clientData/>
  </xdr:twoCellAnchor>
  <xdr:twoCellAnchor>
    <xdr:from>
      <xdr:col>6</xdr:col>
      <xdr:colOff>557962</xdr:colOff>
      <xdr:row>5</xdr:row>
      <xdr:rowOff>24635</xdr:rowOff>
    </xdr:from>
    <xdr:to>
      <xdr:col>9</xdr:col>
      <xdr:colOff>451283</xdr:colOff>
      <xdr:row>9</xdr:row>
      <xdr:rowOff>118368</xdr:rowOff>
    </xdr:to>
    <xdr:sp macro="" textlink="">
      <xdr:nvSpPr>
        <xdr:cNvPr id="4" name="Rectangle: Rounded Corners 3">
          <a:extLst>
            <a:ext uri="{FF2B5EF4-FFF2-40B4-BE49-F238E27FC236}">
              <a16:creationId xmlns:a16="http://schemas.microsoft.com/office/drawing/2014/main" id="{192E3092-5298-E159-05C6-E89D9F25C53C}"/>
            </a:ext>
          </a:extLst>
        </xdr:cNvPr>
        <xdr:cNvSpPr/>
      </xdr:nvSpPr>
      <xdr:spPr>
        <a:xfrm>
          <a:off x="4197807" y="949392"/>
          <a:ext cx="1713243" cy="833539"/>
        </a:xfrm>
        <a:prstGeom prst="roundRect">
          <a:avLst/>
        </a:prstGeom>
        <a:solidFill>
          <a:schemeClr val="bg1"/>
        </a:solidFill>
        <a:effectLst>
          <a:outerShdw blurRad="50800" dist="38100" dir="2700000" algn="tl" rotWithShape="0">
            <a:prstClr val="black">
              <a:alpha val="40000"/>
            </a:prstClr>
          </a:outerShdw>
          <a:reflection endPos="0" dist="50800" dir="5400000" sy="-100000" algn="bl" rotWithShape="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511649</xdr:colOff>
      <xdr:row>5</xdr:row>
      <xdr:rowOff>18125</xdr:rowOff>
    </xdr:from>
    <xdr:to>
      <xdr:col>21</xdr:col>
      <xdr:colOff>519269</xdr:colOff>
      <xdr:row>10</xdr:row>
      <xdr:rowOff>18124</xdr:rowOff>
    </xdr:to>
    <xdr:sp macro="" textlink="">
      <xdr:nvSpPr>
        <xdr:cNvPr id="6" name="Rectangle: Rounded Corners 5">
          <a:extLst>
            <a:ext uri="{FF2B5EF4-FFF2-40B4-BE49-F238E27FC236}">
              <a16:creationId xmlns:a16="http://schemas.microsoft.com/office/drawing/2014/main" id="{3DD02CC3-0042-4CC3-BB63-5F273D11E679}"/>
            </a:ext>
          </a:extLst>
        </xdr:cNvPr>
        <xdr:cNvSpPr/>
      </xdr:nvSpPr>
      <xdr:spPr>
        <a:xfrm>
          <a:off x="11431183" y="942882"/>
          <a:ext cx="1827542" cy="92475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95879</xdr:colOff>
      <xdr:row>5</xdr:row>
      <xdr:rowOff>25302</xdr:rowOff>
    </xdr:from>
    <xdr:to>
      <xdr:col>18</xdr:col>
      <xdr:colOff>103499</xdr:colOff>
      <xdr:row>10</xdr:row>
      <xdr:rowOff>25301</xdr:rowOff>
    </xdr:to>
    <xdr:sp macro="" textlink="">
      <xdr:nvSpPr>
        <xdr:cNvPr id="7" name="Rectangle: Rounded Corners 6">
          <a:extLst>
            <a:ext uri="{FF2B5EF4-FFF2-40B4-BE49-F238E27FC236}">
              <a16:creationId xmlns:a16="http://schemas.microsoft.com/office/drawing/2014/main" id="{563DD71E-0261-4E91-AECF-0E43750CD3F9}"/>
            </a:ext>
          </a:extLst>
        </xdr:cNvPr>
        <xdr:cNvSpPr/>
      </xdr:nvSpPr>
      <xdr:spPr>
        <a:xfrm>
          <a:off x="9195491" y="950059"/>
          <a:ext cx="1827542" cy="924757"/>
        </a:xfrm>
        <a:prstGeom prst="roundRect">
          <a:avLst/>
        </a:prstGeom>
        <a:solidFill>
          <a:schemeClr val="bg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200932</xdr:colOff>
      <xdr:row>5</xdr:row>
      <xdr:rowOff>24192</xdr:rowOff>
    </xdr:from>
    <xdr:to>
      <xdr:col>14</xdr:col>
      <xdr:colOff>208552</xdr:colOff>
      <xdr:row>10</xdr:row>
      <xdr:rowOff>24191</xdr:rowOff>
    </xdr:to>
    <xdr:sp macro="" textlink="">
      <xdr:nvSpPr>
        <xdr:cNvPr id="8" name="Rectangle: Rounded Corners 7">
          <a:extLst>
            <a:ext uri="{FF2B5EF4-FFF2-40B4-BE49-F238E27FC236}">
              <a16:creationId xmlns:a16="http://schemas.microsoft.com/office/drawing/2014/main" id="{13782407-D072-40A9-A499-4B079204CB4D}"/>
            </a:ext>
          </a:extLst>
        </xdr:cNvPr>
        <xdr:cNvSpPr/>
      </xdr:nvSpPr>
      <xdr:spPr>
        <a:xfrm>
          <a:off x="6873981" y="948949"/>
          <a:ext cx="1827542" cy="924757"/>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224246</xdr:colOff>
      <xdr:row>7</xdr:row>
      <xdr:rowOff>26488</xdr:rowOff>
    </xdr:from>
    <xdr:to>
      <xdr:col>9</xdr:col>
      <xdr:colOff>387048</xdr:colOff>
      <xdr:row>9</xdr:row>
      <xdr:rowOff>11248</xdr:rowOff>
    </xdr:to>
    <xdr:sp macro="" textlink="Sheet2!B11">
      <xdr:nvSpPr>
        <xdr:cNvPr id="9" name="Rectangle 8">
          <a:extLst>
            <a:ext uri="{FF2B5EF4-FFF2-40B4-BE49-F238E27FC236}">
              <a16:creationId xmlns:a16="http://schemas.microsoft.com/office/drawing/2014/main" id="{7175F531-7794-44B9-980A-E416C1E12DAC}"/>
            </a:ext>
          </a:extLst>
        </xdr:cNvPr>
        <xdr:cNvSpPr/>
      </xdr:nvSpPr>
      <xdr:spPr>
        <a:xfrm>
          <a:off x="4457579" y="1296488"/>
          <a:ext cx="1372326" cy="3476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D63892B5-674C-42A5-8853-26389A103982}" type="TxLink">
            <a:rPr lang="en-US" sz="1400" b="1" i="0" u="none" strike="noStrike">
              <a:solidFill>
                <a:srgbClr val="000000"/>
              </a:solidFill>
              <a:latin typeface="Engravers MT" panose="02090707080505020304" pitchFamily="18" charset="0"/>
              <a:ea typeface="Calibri"/>
              <a:cs typeface="Calibri"/>
            </a:rPr>
            <a:t>70816630</a:t>
          </a:fld>
          <a:endParaRPr lang="en-US" sz="1400" b="1">
            <a:latin typeface="Engravers MT" panose="02090707080505020304" pitchFamily="18" charset="0"/>
          </a:endParaRPr>
        </a:p>
      </xdr:txBody>
    </xdr:sp>
    <xdr:clientData/>
  </xdr:twoCellAnchor>
  <xdr:twoCellAnchor>
    <xdr:from>
      <xdr:col>6</xdr:col>
      <xdr:colOff>551060</xdr:colOff>
      <xdr:row>4</xdr:row>
      <xdr:rowOff>112002</xdr:rowOff>
    </xdr:from>
    <xdr:to>
      <xdr:col>9</xdr:col>
      <xdr:colOff>459620</xdr:colOff>
      <xdr:row>7</xdr:row>
      <xdr:rowOff>150102</xdr:rowOff>
    </xdr:to>
    <xdr:sp macro="" textlink="">
      <xdr:nvSpPr>
        <xdr:cNvPr id="11" name="Rectangle 10">
          <a:extLst>
            <a:ext uri="{FF2B5EF4-FFF2-40B4-BE49-F238E27FC236}">
              <a16:creationId xmlns:a16="http://schemas.microsoft.com/office/drawing/2014/main" id="{1C6A5C96-C109-F972-9229-F238EB938C19}"/>
            </a:ext>
          </a:extLst>
        </xdr:cNvPr>
        <xdr:cNvSpPr/>
      </xdr:nvSpPr>
      <xdr:spPr>
        <a:xfrm>
          <a:off x="4179631" y="837716"/>
          <a:ext cx="1722846" cy="5823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Bodoni MT Black" panose="02070A03080606020203" pitchFamily="18" charset="0"/>
            </a:rPr>
            <a:t>Total Electors</a:t>
          </a:r>
        </a:p>
      </xdr:txBody>
    </xdr:sp>
    <xdr:clientData/>
  </xdr:twoCellAnchor>
  <xdr:twoCellAnchor>
    <xdr:from>
      <xdr:col>12</xdr:col>
      <xdr:colOff>166953</xdr:colOff>
      <xdr:row>7</xdr:row>
      <xdr:rowOff>57189</xdr:rowOff>
    </xdr:from>
    <xdr:to>
      <xdr:col>13</xdr:col>
      <xdr:colOff>479934</xdr:colOff>
      <xdr:row>9</xdr:row>
      <xdr:rowOff>49791</xdr:rowOff>
    </xdr:to>
    <xdr:sp macro="" textlink="Sheet2!B17">
      <xdr:nvSpPr>
        <xdr:cNvPr id="14" name="Rectangle 13">
          <a:extLst>
            <a:ext uri="{FF2B5EF4-FFF2-40B4-BE49-F238E27FC236}">
              <a16:creationId xmlns:a16="http://schemas.microsoft.com/office/drawing/2014/main" id="{DEB3A396-65DB-458D-B097-148AC61F9773}"/>
            </a:ext>
          </a:extLst>
        </xdr:cNvPr>
        <xdr:cNvSpPr/>
      </xdr:nvSpPr>
      <xdr:spPr>
        <a:xfrm>
          <a:off x="7424096" y="1327189"/>
          <a:ext cx="917743" cy="35545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2A04737-4DB4-4C5A-89AA-82FF8DC30AB3}" type="TxLink">
            <a:rPr lang="en-US" sz="1600" b="0" i="0" u="none" strike="noStrike">
              <a:solidFill>
                <a:srgbClr val="000000"/>
              </a:solidFill>
              <a:latin typeface="Engravers MT" panose="02090707080505020304" pitchFamily="18" charset="0"/>
              <a:ea typeface="Calibri"/>
              <a:cs typeface="Calibri"/>
            </a:rPr>
            <a:t>4393</a:t>
          </a:fld>
          <a:endParaRPr lang="en-US" sz="1600" b="1">
            <a:latin typeface="Engravers MT" panose="02090707080505020304" pitchFamily="18" charset="0"/>
          </a:endParaRPr>
        </a:p>
      </xdr:txBody>
    </xdr:sp>
    <xdr:clientData/>
  </xdr:twoCellAnchor>
  <xdr:twoCellAnchor>
    <xdr:from>
      <xdr:col>11</xdr:col>
      <xdr:colOff>123009</xdr:colOff>
      <xdr:row>4</xdr:row>
      <xdr:rowOff>131717</xdr:rowOff>
    </xdr:from>
    <xdr:to>
      <xdr:col>14</xdr:col>
      <xdr:colOff>275409</xdr:colOff>
      <xdr:row>7</xdr:row>
      <xdr:rowOff>131717</xdr:rowOff>
    </xdr:to>
    <xdr:sp macro="" textlink="">
      <xdr:nvSpPr>
        <xdr:cNvPr id="15" name="Rectangle 14">
          <a:extLst>
            <a:ext uri="{FF2B5EF4-FFF2-40B4-BE49-F238E27FC236}">
              <a16:creationId xmlns:a16="http://schemas.microsoft.com/office/drawing/2014/main" id="{821D1CF2-4D70-4E43-ACF3-BC9D0ACCE2A8}"/>
            </a:ext>
          </a:extLst>
        </xdr:cNvPr>
        <xdr:cNvSpPr/>
      </xdr:nvSpPr>
      <xdr:spPr>
        <a:xfrm>
          <a:off x="6775390" y="857431"/>
          <a:ext cx="1966686" cy="5442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Bodoni MT Black" panose="02070A03080606020203" pitchFamily="18" charset="0"/>
            </a:rPr>
            <a:t>Polling Station</a:t>
          </a:r>
        </a:p>
      </xdr:txBody>
    </xdr:sp>
    <xdr:clientData/>
  </xdr:twoCellAnchor>
  <xdr:twoCellAnchor>
    <xdr:from>
      <xdr:col>14</xdr:col>
      <xdr:colOff>594265</xdr:colOff>
      <xdr:row>4</xdr:row>
      <xdr:rowOff>149475</xdr:rowOff>
    </xdr:from>
    <xdr:to>
      <xdr:col>18</xdr:col>
      <xdr:colOff>141903</xdr:colOff>
      <xdr:row>7</xdr:row>
      <xdr:rowOff>149474</xdr:rowOff>
    </xdr:to>
    <xdr:sp macro="" textlink="">
      <xdr:nvSpPr>
        <xdr:cNvPr id="17" name="Rectangle 16">
          <a:extLst>
            <a:ext uri="{FF2B5EF4-FFF2-40B4-BE49-F238E27FC236}">
              <a16:creationId xmlns:a16="http://schemas.microsoft.com/office/drawing/2014/main" id="{5D14F32E-746A-464E-B23A-BB30E21D7459}"/>
            </a:ext>
          </a:extLst>
        </xdr:cNvPr>
        <xdr:cNvSpPr/>
      </xdr:nvSpPr>
      <xdr:spPr>
        <a:xfrm>
          <a:off x="9060932" y="875189"/>
          <a:ext cx="1966685" cy="54428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latin typeface="Bodoni MT Black" panose="02070A03080606020203" pitchFamily="18" charset="0"/>
            </a:rPr>
            <a:t>Male Electors</a:t>
          </a:r>
        </a:p>
      </xdr:txBody>
    </xdr:sp>
    <xdr:clientData/>
  </xdr:twoCellAnchor>
  <xdr:twoCellAnchor>
    <xdr:from>
      <xdr:col>15</xdr:col>
      <xdr:colOff>421620</xdr:colOff>
      <xdr:row>7</xdr:row>
      <xdr:rowOff>103538</xdr:rowOff>
    </xdr:from>
    <xdr:to>
      <xdr:col>17</xdr:col>
      <xdr:colOff>485688</xdr:colOff>
      <xdr:row>9</xdr:row>
      <xdr:rowOff>106275</xdr:rowOff>
    </xdr:to>
    <xdr:sp macro="" textlink="Sheet2!E11">
      <xdr:nvSpPr>
        <xdr:cNvPr id="18" name="Rectangle 17">
          <a:extLst>
            <a:ext uri="{FF2B5EF4-FFF2-40B4-BE49-F238E27FC236}">
              <a16:creationId xmlns:a16="http://schemas.microsoft.com/office/drawing/2014/main" id="{71033161-8B99-4E49-A51B-DFC3707B9AE0}"/>
            </a:ext>
          </a:extLst>
        </xdr:cNvPr>
        <xdr:cNvSpPr/>
      </xdr:nvSpPr>
      <xdr:spPr>
        <a:xfrm>
          <a:off x="9493049" y="1373538"/>
          <a:ext cx="1273591" cy="36559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FB959E52-F81D-49C9-8381-D38AA8DE0BD8}" type="TxLink">
            <a:rPr lang="en-US" sz="1600" b="0" i="0" u="none" strike="noStrike">
              <a:solidFill>
                <a:srgbClr val="000000"/>
              </a:solidFill>
              <a:latin typeface="Engravers MT" panose="02090707080505020304" pitchFamily="18" charset="0"/>
              <a:ea typeface="Calibri"/>
              <a:cs typeface="Calibri"/>
            </a:rPr>
            <a:t>36199391</a:t>
          </a:fld>
          <a:endParaRPr lang="en-US" sz="1600" b="1">
            <a:latin typeface="Engravers MT" panose="02090707080505020304" pitchFamily="18" charset="0"/>
          </a:endParaRPr>
        </a:p>
      </xdr:txBody>
    </xdr:sp>
    <xdr:clientData/>
  </xdr:twoCellAnchor>
  <xdr:twoCellAnchor>
    <xdr:from>
      <xdr:col>19</xdr:col>
      <xdr:colOff>3874</xdr:colOff>
      <xdr:row>5</xdr:row>
      <xdr:rowOff>72572</xdr:rowOff>
    </xdr:from>
    <xdr:to>
      <xdr:col>22</xdr:col>
      <xdr:colOff>260927</xdr:colOff>
      <xdr:row>7</xdr:row>
      <xdr:rowOff>131756</xdr:rowOff>
    </xdr:to>
    <xdr:sp macro="" textlink="">
      <xdr:nvSpPr>
        <xdr:cNvPr id="21" name="Rectangle 20">
          <a:extLst>
            <a:ext uri="{FF2B5EF4-FFF2-40B4-BE49-F238E27FC236}">
              <a16:creationId xmlns:a16="http://schemas.microsoft.com/office/drawing/2014/main" id="{E2D0B045-88EA-CF64-560C-E727A45D98C2}"/>
            </a:ext>
          </a:extLst>
        </xdr:cNvPr>
        <xdr:cNvSpPr/>
      </xdr:nvSpPr>
      <xdr:spPr>
        <a:xfrm>
          <a:off x="11494350" y="979715"/>
          <a:ext cx="2071339" cy="42204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a:solidFill>
                <a:sysClr val="windowText" lastClr="000000"/>
              </a:solidFill>
              <a:latin typeface="Bodoni MT Black" panose="02070A03080606020203" pitchFamily="18" charset="0"/>
            </a:rPr>
            <a:t>Female Electors</a:t>
          </a:r>
        </a:p>
      </xdr:txBody>
    </xdr:sp>
    <xdr:clientData/>
  </xdr:twoCellAnchor>
  <xdr:twoCellAnchor>
    <xdr:from>
      <xdr:col>19</xdr:col>
      <xdr:colOff>282419</xdr:colOff>
      <xdr:row>7</xdr:row>
      <xdr:rowOff>67287</xdr:rowOff>
    </xdr:from>
    <xdr:to>
      <xdr:col>21</xdr:col>
      <xdr:colOff>474769</xdr:colOff>
      <xdr:row>9</xdr:row>
      <xdr:rowOff>104277</xdr:rowOff>
    </xdr:to>
    <xdr:sp macro="" textlink="Sheet2!H11">
      <xdr:nvSpPr>
        <xdr:cNvPr id="22" name="Rectangle 21">
          <a:extLst>
            <a:ext uri="{FF2B5EF4-FFF2-40B4-BE49-F238E27FC236}">
              <a16:creationId xmlns:a16="http://schemas.microsoft.com/office/drawing/2014/main" id="{350B05CC-E3A8-B689-C029-87E8EE49A510}"/>
            </a:ext>
          </a:extLst>
        </xdr:cNvPr>
        <xdr:cNvSpPr/>
      </xdr:nvSpPr>
      <xdr:spPr>
        <a:xfrm>
          <a:off x="11772895" y="1337287"/>
          <a:ext cx="1401874" cy="3998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3FA0639-B4CC-45F7-92C7-B52F92598CE2}" type="TxLink">
            <a:rPr lang="en-US" sz="1600" b="0" i="0" u="none" strike="noStrike">
              <a:solidFill>
                <a:srgbClr val="000000"/>
              </a:solidFill>
              <a:latin typeface="Engravers MT" panose="02090707080505020304" pitchFamily="18" charset="0"/>
              <a:ea typeface="Calibri"/>
              <a:cs typeface="Calibri"/>
            </a:rPr>
            <a:t>34615837</a:t>
          </a:fld>
          <a:endParaRPr lang="en-US" sz="1600">
            <a:latin typeface="Engravers MT" panose="02090707080505020304" pitchFamily="18" charset="0"/>
          </a:endParaRPr>
        </a:p>
      </xdr:txBody>
    </xdr:sp>
    <xdr:clientData/>
  </xdr:twoCellAnchor>
  <xdr:twoCellAnchor editAs="oneCell">
    <xdr:from>
      <xdr:col>0</xdr:col>
      <xdr:colOff>586370</xdr:colOff>
      <xdr:row>10</xdr:row>
      <xdr:rowOff>7397</xdr:rowOff>
    </xdr:from>
    <xdr:to>
      <xdr:col>3</xdr:col>
      <xdr:colOff>602719</xdr:colOff>
      <xdr:row>23</xdr:row>
      <xdr:rowOff>72869</xdr:rowOff>
    </xdr:to>
    <mc:AlternateContent xmlns:mc="http://schemas.openxmlformats.org/markup-compatibility/2006">
      <mc:Choice xmlns:a14="http://schemas.microsoft.com/office/drawing/2010/main" Requires="a14">
        <xdr:graphicFrame macro="">
          <xdr:nvGraphicFramePr>
            <xdr:cNvPr id="23" name="Name of District">
              <a:extLst>
                <a:ext uri="{FF2B5EF4-FFF2-40B4-BE49-F238E27FC236}">
                  <a16:creationId xmlns:a16="http://schemas.microsoft.com/office/drawing/2014/main" id="{5031A8FB-620E-4C3F-9534-1DA4567E216D}"/>
                </a:ext>
              </a:extLst>
            </xdr:cNvPr>
            <xdr:cNvGraphicFramePr/>
          </xdr:nvGraphicFramePr>
          <xdr:xfrm>
            <a:off x="0" y="0"/>
            <a:ext cx="0" cy="0"/>
          </xdr:xfrm>
          <a:graphic>
            <a:graphicData uri="http://schemas.microsoft.com/office/drawing/2010/slicer">
              <sle:slicer xmlns:sle="http://schemas.microsoft.com/office/drawing/2010/slicer" name="Name of District"/>
            </a:graphicData>
          </a:graphic>
        </xdr:graphicFrame>
      </mc:Choice>
      <mc:Fallback>
        <xdr:sp macro="" textlink="">
          <xdr:nvSpPr>
            <xdr:cNvPr id="0" name=""/>
            <xdr:cNvSpPr>
              <a:spLocks noTextEdit="1"/>
            </xdr:cNvSpPr>
          </xdr:nvSpPr>
          <xdr:spPr>
            <a:xfrm>
              <a:off x="586370" y="1825806"/>
              <a:ext cx="1834758" cy="24294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443458</xdr:colOff>
      <xdr:row>11</xdr:row>
      <xdr:rowOff>157357</xdr:rowOff>
    </xdr:from>
    <xdr:to>
      <xdr:col>12</xdr:col>
      <xdr:colOff>508000</xdr:colOff>
      <xdr:row>24</xdr:row>
      <xdr:rowOff>0</xdr:rowOff>
    </xdr:to>
    <xdr:graphicFrame macro="">
      <xdr:nvGraphicFramePr>
        <xdr:cNvPr id="24" name="Chart 23">
          <a:extLst>
            <a:ext uri="{FF2B5EF4-FFF2-40B4-BE49-F238E27FC236}">
              <a16:creationId xmlns:a16="http://schemas.microsoft.com/office/drawing/2014/main" id="{0E82E108-D1CE-4F08-BBC9-A74016A11E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497593</xdr:colOff>
      <xdr:row>12</xdr:row>
      <xdr:rowOff>16910</xdr:rowOff>
    </xdr:from>
    <xdr:to>
      <xdr:col>21</xdr:col>
      <xdr:colOff>193524</xdr:colOff>
      <xdr:row>24</xdr:row>
      <xdr:rowOff>0</xdr:rowOff>
    </xdr:to>
    <xdr:graphicFrame macro="">
      <xdr:nvGraphicFramePr>
        <xdr:cNvPr id="26" name="Chart 25">
          <a:extLst>
            <a:ext uri="{FF2B5EF4-FFF2-40B4-BE49-F238E27FC236}">
              <a16:creationId xmlns:a16="http://schemas.microsoft.com/office/drawing/2014/main" id="{8F6E2124-A29A-43A2-B3C8-2AD042872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5563</xdr:colOff>
      <xdr:row>25</xdr:row>
      <xdr:rowOff>84668</xdr:rowOff>
    </xdr:from>
    <xdr:to>
      <xdr:col>12</xdr:col>
      <xdr:colOff>447524</xdr:colOff>
      <xdr:row>40</xdr:row>
      <xdr:rowOff>60477</xdr:rowOff>
    </xdr:to>
    <xdr:graphicFrame macro="">
      <xdr:nvGraphicFramePr>
        <xdr:cNvPr id="27" name="Chart 26">
          <a:extLst>
            <a:ext uri="{FF2B5EF4-FFF2-40B4-BE49-F238E27FC236}">
              <a16:creationId xmlns:a16="http://schemas.microsoft.com/office/drawing/2014/main" id="{D0E21FDC-F8C4-4721-9F2D-F13E5092E1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561945</xdr:colOff>
      <xdr:row>26</xdr:row>
      <xdr:rowOff>24191</xdr:rowOff>
    </xdr:from>
    <xdr:to>
      <xdr:col>21</xdr:col>
      <xdr:colOff>72572</xdr:colOff>
      <xdr:row>39</xdr:row>
      <xdr:rowOff>120953</xdr:rowOff>
    </xdr:to>
    <xdr:graphicFrame macro="">
      <xdr:nvGraphicFramePr>
        <xdr:cNvPr id="28" name="Chart 27">
          <a:extLst>
            <a:ext uri="{FF2B5EF4-FFF2-40B4-BE49-F238E27FC236}">
              <a16:creationId xmlns:a16="http://schemas.microsoft.com/office/drawing/2014/main" id="{1C001AAF-6AF3-465F-9123-0E5B7BCA62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598230</xdr:colOff>
      <xdr:row>25</xdr:row>
      <xdr:rowOff>108859</xdr:rowOff>
    </xdr:from>
    <xdr:to>
      <xdr:col>4</xdr:col>
      <xdr:colOff>120952</xdr:colOff>
      <xdr:row>40</xdr:row>
      <xdr:rowOff>84668</xdr:rowOff>
    </xdr:to>
    <xdr:graphicFrame macro="">
      <xdr:nvGraphicFramePr>
        <xdr:cNvPr id="29" name="Chart 28">
          <a:extLst>
            <a:ext uri="{FF2B5EF4-FFF2-40B4-BE49-F238E27FC236}">
              <a16:creationId xmlns:a16="http://schemas.microsoft.com/office/drawing/2014/main" id="{E52322ED-BFB8-49D8-BBC0-EE0379AFCD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56299</xdr:colOff>
      <xdr:row>1</xdr:row>
      <xdr:rowOff>51384</xdr:rowOff>
    </xdr:from>
    <xdr:to>
      <xdr:col>1</xdr:col>
      <xdr:colOff>572530</xdr:colOff>
      <xdr:row>3</xdr:row>
      <xdr:rowOff>162531</xdr:rowOff>
    </xdr:to>
    <xdr:pic>
      <xdr:nvPicPr>
        <xdr:cNvPr id="34" name="Picture 33">
          <a:extLst>
            <a:ext uri="{FF2B5EF4-FFF2-40B4-BE49-F238E27FC236}">
              <a16:creationId xmlns:a16="http://schemas.microsoft.com/office/drawing/2014/main" id="{C555CBF2-EC6B-6466-5918-F1E28D1E89E7}"/>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663421" y="237238"/>
          <a:ext cx="516231" cy="482854"/>
        </a:xfrm>
        <a:prstGeom prst="rect">
          <a:avLst/>
        </a:prstGeom>
        <a:solidFill>
          <a:schemeClr val="bg1">
            <a:lumMod val="85000"/>
          </a:schemeClr>
        </a:solidFill>
      </xdr:spPr>
    </xdr:pic>
    <xdr:clientData/>
  </xdr:twoCellAnchor>
  <xdr:twoCellAnchor>
    <xdr:from>
      <xdr:col>2</xdr:col>
      <xdr:colOff>235415</xdr:colOff>
      <xdr:row>1</xdr:row>
      <xdr:rowOff>12391</xdr:rowOff>
    </xdr:from>
    <xdr:to>
      <xdr:col>6</xdr:col>
      <xdr:colOff>86732</xdr:colOff>
      <xdr:row>3</xdr:row>
      <xdr:rowOff>167268</xdr:rowOff>
    </xdr:to>
    <xdr:sp macro="" textlink="">
      <xdr:nvSpPr>
        <xdr:cNvPr id="35" name="Rectangle: Rounded Corners 34">
          <a:extLst>
            <a:ext uri="{FF2B5EF4-FFF2-40B4-BE49-F238E27FC236}">
              <a16:creationId xmlns:a16="http://schemas.microsoft.com/office/drawing/2014/main" id="{0241A5A2-D2A4-B6E8-E6C1-2F4E1DC29E31}"/>
            </a:ext>
          </a:extLst>
        </xdr:cNvPr>
        <xdr:cNvSpPr/>
      </xdr:nvSpPr>
      <xdr:spPr>
        <a:xfrm>
          <a:off x="1449659" y="198245"/>
          <a:ext cx="2279805" cy="526584"/>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a:latin typeface="Elephant" panose="02020904090505020303" pitchFamily="18" charset="0"/>
            </a:rPr>
            <a:t>SIR</a:t>
          </a:r>
          <a:r>
            <a:rPr lang="en-US" sz="2400" baseline="0">
              <a:latin typeface="Elephant" panose="02020904090505020303" pitchFamily="18" charset="0"/>
            </a:rPr>
            <a:t>  - 2026</a:t>
          </a:r>
          <a:endParaRPr lang="en-US" sz="2400">
            <a:latin typeface="Elephant" panose="02020904090505020303" pitchFamily="18" charset="0"/>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4.637754629628" createdVersion="8" refreshedVersion="8" minRefreshableVersion="3" recordCount="294" xr:uid="{0D48F0D1-D371-401F-B1DB-1DD86F220E0C}">
  <cacheSource type="worksheet">
    <worksheetSource ref="A1:H295" sheet="SIR-2026"/>
  </cacheSource>
  <cacheFields count="8">
    <cacheField name="Name of District" numFmtId="0">
      <sharedItems count="24">
        <s v="COOCHBEHAR"/>
        <s v="ALIPURDUAR"/>
        <s v="JALPAIGURI"/>
        <s v="Kalimpong"/>
        <s v="DARJEELING"/>
        <s v="UTTAR DINAJPUR"/>
        <s v="DAKSHIN DINAJPUR"/>
        <s v="MALDA"/>
        <s v="MURSHIDABAD"/>
        <s v="NADIA"/>
        <s v="NORTH 24 PARGANAS"/>
        <s v="SOUTH 24 PARGANAS"/>
        <s v="KOLKATA SOUTH"/>
        <s v="KOLKATA NORTH"/>
        <s v="HOWRAH"/>
        <s v="HOOGHLY"/>
        <s v="PURBO MEDINIPUR"/>
        <s v="PASCHIM MEDINIPUR"/>
        <s v="JHARGRAM"/>
        <s v="PURULIA"/>
        <s v="BANKURA"/>
        <s v="PURBA BARDHAMAN"/>
        <s v="PASCHIM BARDHAMAN"/>
        <s v="BIRBHUM"/>
      </sharedItems>
    </cacheField>
    <cacheField name="AC NO" numFmtId="0">
      <sharedItems containsSemiMixedTypes="0" containsString="0" containsNumber="1" containsInteger="1" minValue="1" maxValue="294"/>
    </cacheField>
    <cacheField name="AC name" numFmtId="0">
      <sharedItems count="293">
        <s v="Mekliganj"/>
        <s v="Mathabhanga"/>
        <s v="COOCHBEHAR UTTAR"/>
        <s v="Cooch Behar Dakshin"/>
        <s v="Sitalkuchi"/>
        <s v="Sitai"/>
        <s v="Dinhata"/>
        <s v="Natabari"/>
        <s v="Tufanganj"/>
        <s v="Kumargram"/>
        <s v="Kalchini"/>
        <s v="Alipurduars"/>
        <s v="Falakata"/>
        <s v="Madarihat"/>
        <s v="Dhupguri"/>
        <s v="Maynaguri"/>
        <s v="Jalpaiguri"/>
        <s v="Rajganj"/>
        <s v="Dabgram-Fulbari"/>
        <s v="Mal"/>
        <s v="Nagrakata"/>
        <s v="Kalimpong"/>
        <s v="Darjeeling"/>
        <s v="Kurseong"/>
        <s v="Matigara-Naxalbari"/>
        <s v="Siliguri"/>
        <s v="Phansidewa"/>
        <s v="Chopra"/>
        <s v="Islampur"/>
        <s v="Goalpokhar"/>
        <s v="Chakulia"/>
        <s v="Karandighi"/>
        <s v="Hemtabad"/>
        <s v="Kaliaganj"/>
        <s v="Raiganj"/>
        <s v="Itahar"/>
        <s v="Kushmandi"/>
        <s v="Kumarganj"/>
        <s v="Balurghat"/>
        <s v="Tapan"/>
        <s v="Gangarampur"/>
        <s v="Harirampur"/>
        <s v="Habibpur"/>
        <s v="Gazole"/>
        <s v="Chanchal"/>
        <s v="Harischandrapur"/>
        <s v="Malatipur"/>
        <s v="Ratua"/>
        <s v="Manikchak"/>
        <s v="Maldaha"/>
        <s v="Englishbazar"/>
        <s v="Mothabari"/>
        <s v="Sujapur"/>
        <s v="Baisnabnagar"/>
        <s v="Farakka"/>
        <s v="Samserganj"/>
        <s v="Suti"/>
        <s v="Jangipur"/>
        <s v="RaghunathGanj"/>
        <s v="Sagardighi"/>
        <s v="Lalgola"/>
        <s v="Bhagabangola"/>
        <s v="Raninagar"/>
        <s v="Murshidabad"/>
        <s v="Nabagram"/>
        <s v="Khargram"/>
        <s v="Burwan"/>
        <s v="Kandi"/>
        <s v="Bharatpur"/>
        <s v="Rejinagar"/>
        <s v="Beldanga"/>
        <s v="Baharampur"/>
        <s v="Hariharpara"/>
        <s v="Naoda"/>
        <s v="Domkal"/>
        <s v="Jalangi"/>
        <s v="Karimpur"/>
        <s v="Tehatta"/>
        <s v="Palashipara"/>
        <s v="Kaliganj"/>
        <s v="Nakashipara"/>
        <s v="Chapra"/>
        <s v="Krishnanagar Uttar"/>
        <s v="Nabadwip"/>
        <s v="Krishnanagar Dakshin"/>
        <s v="Santipur"/>
        <s v="Ranaghat Uttar Paschim"/>
        <s v="Krishnaganj"/>
        <s v="Ranaghat Uttar Purba"/>
        <s v="Ranaghat Dakshin"/>
        <s v="Chakdaha"/>
        <s v="Kalyani"/>
        <s v="Haringhata"/>
        <s v="Bagda"/>
        <s v="Bangaon Uttar"/>
        <s v="Bangaon Dakshin"/>
        <s v="Gaighata"/>
        <s v="Swarupnagar"/>
        <s v="Baduria"/>
        <s v="Habra"/>
        <s v="Ashoknagar"/>
        <s v="Amdanga"/>
        <s v="Bijpur"/>
        <s v="Naihati"/>
        <s v="Bhatpara"/>
        <s v="Jagatdal"/>
        <s v="Noapara"/>
        <s v="Barrackpur"/>
        <s v="Khardaha"/>
        <s v="Dum Dum Uttar"/>
        <s v="Panihati"/>
        <s v="Kamarhati"/>
        <s v="Baranagar"/>
        <s v="Dum Dum"/>
        <s v="Rajarhat New Town"/>
        <s v="Bidhannagar"/>
        <s v="Rajarhat Gopalpur"/>
        <s v="Madhyamgram"/>
        <s v="Barasat"/>
        <s v="Deganga"/>
        <s v="Haroa"/>
        <s v="Minakhan"/>
        <s v="Sandeshkhali"/>
        <s v="Basirhat Dakshin"/>
        <s v="Basirhat Uttar"/>
        <s v="Hingalganj"/>
        <s v="Gosaba"/>
        <s v="Basanti"/>
        <s v="Kultali"/>
        <s v="Patharpratima"/>
        <s v="Kakdwip"/>
        <s v="Sagar"/>
        <s v="Kulpi"/>
        <s v="Raidighi"/>
        <s v="Mandirbazar"/>
        <s v="Joynagar"/>
        <s v="Baruipur Purba"/>
        <s v="Canning Paschim"/>
        <s v="Canning Purba"/>
        <s v="Baruipur Paschim"/>
        <s v="Magrahat Purba"/>
        <s v="Magrahat Paschim"/>
        <s v="Diamond Harbour"/>
        <s v="Falta"/>
        <s v="Satgachhia"/>
        <s v="Bishnupur"/>
        <s v="Sonarpur Dakshin"/>
        <s v="Bhangar"/>
        <s v="Kasba"/>
        <s v="Jadavpur"/>
        <s v="Sonarpur Uttar"/>
        <s v="Tollyganj"/>
        <s v="Behala Purba"/>
        <s v="Behala Paschim"/>
        <s v="Maheshtala"/>
        <s v="Budge Budge"/>
        <s v="Metiaburuz"/>
        <s v="Kolkata Port"/>
        <s v="Bhabanipur"/>
        <s v="Rashbehari"/>
        <s v="Ballygunge"/>
        <s v="Chowrangee"/>
        <s v="Entally"/>
        <s v="Beleghata"/>
        <s v="Jorasanko"/>
        <s v="Shyampukur"/>
        <s v="Maniktola"/>
        <s v="Kashipur-Belgachhia"/>
        <s v="Bally"/>
        <s v="Howrah Uttar"/>
        <s v="Howrah Madhya"/>
        <s v="Shibpur"/>
        <s v="Howrah Dakshin"/>
        <s v="Sankrail"/>
        <s v="Panchla"/>
        <s v="Uluberia Purba"/>
        <s v="Uluberia Uttar"/>
        <s v="Uluberia Dakshin"/>
        <s v="Shyampur"/>
        <s v="Bagnan"/>
        <s v="Amta"/>
        <s v="Udaynarayanpur"/>
        <s v="Jagatballavpur"/>
        <s v="Domjur"/>
        <s v="Uttarpara"/>
        <s v="Sreerampur"/>
        <s v="Champdani"/>
        <s v="Singur"/>
        <s v="Chandannagar"/>
        <s v="Chunchura"/>
        <s v="Balagarh"/>
        <s v="Pandua"/>
        <s v="Saptagram"/>
        <s v="Chanditala"/>
        <s v="Jangipara"/>
        <s v="Haripal"/>
        <s v="Dhanekhali"/>
        <s v="Tarakeswar"/>
        <s v="Pursurah"/>
        <s v="Arambag"/>
        <s v="Goghat"/>
        <s v="Khanakul"/>
        <s v="Tamluk"/>
        <s v="Panskura Purba"/>
        <s v="Panskura Paschim"/>
        <s v="Moyna"/>
        <s v="Nandakumar"/>
        <s v="Mahishadal"/>
        <s v="Haldia"/>
        <s v="Nandigram"/>
        <s v="Chandipur"/>
        <s v="Patashpur"/>
        <s v="Kanthi Uttar"/>
        <s v="Bhagabanpur"/>
        <s v="Khejuri"/>
        <s v="Kanthi Dakshin"/>
        <s v="Ramnagar"/>
        <s v="Egra"/>
        <s v="Dantan"/>
        <s v="Nayagram"/>
        <s v="Gopiballavpur"/>
        <s v="Jhargram"/>
        <s v="Keshiary"/>
        <s v="Kharagpur Sadar"/>
        <s v="Narayangarh"/>
        <s v="Sabang"/>
        <s v="Pingla"/>
        <s v="Kharagpur"/>
        <s v="Debra"/>
        <s v="Daspur"/>
        <s v="Ghatal"/>
        <s v="Chandrakona"/>
        <s v="Garbeta"/>
        <s v="Salboni"/>
        <s v="Keshpur"/>
        <s v="Medinipur"/>
        <s v="Binpur"/>
        <s v="Bandwan"/>
        <s v="Balarampur"/>
        <s v="Baghmundi"/>
        <s v="Joypur"/>
        <s v="Purulia"/>
        <s v="Manbazar"/>
        <s v="Kashipur"/>
        <s v="Para"/>
        <s v="Raghunathpur"/>
        <s v="Saltora"/>
        <s v="Chhatna"/>
        <s v="Ranibandh"/>
        <s v="Raipur"/>
        <s v="Taldangra"/>
        <s v="Bankura"/>
        <s v="Barjora"/>
        <s v="Onda"/>
        <s v="Katulpur"/>
        <s v="Indus"/>
        <s v="Sonamukhi"/>
        <s v="Khandaghosh"/>
        <s v="Burdwan Dakshin"/>
        <s v="Raina"/>
        <s v="Jamalpur"/>
        <s v="Monteswar"/>
        <s v="Kalna"/>
        <s v="Memari"/>
        <s v="Burdwan Uttar"/>
        <s v="Bhatar"/>
        <s v="Purbasthali Dakshin"/>
        <s v="Purbasthali Uttar"/>
        <s v="Katwa"/>
        <s v="Ketugram"/>
        <s v="Mongalkote"/>
        <s v="Ausgram"/>
        <s v="Galsi"/>
        <s v="Pandabeswar"/>
        <s v="Durgapur Purba"/>
        <s v="Durgapur Paschim"/>
        <s v="Raniganj"/>
        <s v="Jamuria"/>
        <s v="Asansol Dakshin"/>
        <s v="Asansol Uttar"/>
        <s v="Kulti"/>
        <s v="Barabani"/>
        <s v="Dubrajpur"/>
        <s v="Suri"/>
        <s v="Bolpur"/>
        <s v="Nanoor"/>
        <s v="Labhpur"/>
        <s v="Sainthia"/>
        <s v="Mayureswar"/>
        <s v="Rampurhat"/>
        <s v="Hansan"/>
        <s v="Nalhati"/>
        <s v="Murarai"/>
      </sharedItems>
    </cacheField>
    <cacheField name="No of polling station" numFmtId="0">
      <sharedItems containsSemiMixedTypes="0" containsString="0" containsNumber="1" containsInteger="1" minValue="163" maxValue="361" count="103">
        <n v="239"/>
        <n v="276"/>
        <n v="307"/>
        <n v="258"/>
        <n v="310"/>
        <n v="300"/>
        <n v="318"/>
        <n v="274"/>
        <n v="255"/>
        <n v="302"/>
        <n v="275"/>
        <n v="278"/>
        <n v="269"/>
        <n v="226"/>
        <n v="263"/>
        <n v="283"/>
        <n v="261"/>
        <n v="314"/>
        <n v="271"/>
        <n v="260"/>
        <n v="293"/>
        <n v="335"/>
        <n v="296"/>
        <n v="328"/>
        <n v="245"/>
        <n v="238"/>
        <n v="236"/>
        <n v="266"/>
        <n v="282"/>
        <n v="213"/>
        <n v="229"/>
        <n v="211"/>
        <n v="200"/>
        <n v="234"/>
        <n v="230"/>
        <n v="252"/>
        <n v="273"/>
        <n v="248"/>
        <n v="292"/>
        <n v="205"/>
        <n v="264"/>
        <n v="262"/>
        <n v="247"/>
        <n v="285"/>
        <n v="250"/>
        <n v="256"/>
        <n v="270"/>
        <n v="272"/>
        <n v="244"/>
        <n v="233"/>
        <n v="281"/>
        <n v="298"/>
        <n v="286"/>
        <n v="284"/>
        <n v="309"/>
        <n v="265"/>
        <n v="290"/>
        <n v="297"/>
        <n v="308"/>
        <n v="210"/>
        <n v="163"/>
        <n v="279"/>
        <n v="231"/>
        <n v="241"/>
        <n v="253"/>
        <n v="217"/>
        <n v="316"/>
        <n v="268"/>
        <n v="249"/>
        <n v="288"/>
        <n v="287"/>
        <n v="259"/>
        <n v="246"/>
        <n v="304"/>
        <n v="317"/>
        <n v="347"/>
        <n v="323"/>
        <n v="350"/>
        <n v="235"/>
        <n v="267"/>
        <n v="291"/>
        <n v="222"/>
        <n v="312"/>
        <n v="221"/>
        <n v="277"/>
        <n v="196"/>
        <n v="313"/>
        <n v="240"/>
        <n v="303"/>
        <n v="243"/>
        <n v="319"/>
        <n v="361"/>
        <n v="301"/>
        <n v="280"/>
        <n v="257"/>
        <n v="254"/>
        <n v="306"/>
        <n v="331"/>
        <n v="320"/>
        <n v="329"/>
        <n v="343"/>
        <n v="289"/>
        <n v="299"/>
      </sharedItems>
    </cacheField>
    <cacheField name="Male electors" numFmtId="0">
      <sharedItems containsSemiMixedTypes="0" containsString="0" containsNumber="1" containsInteger="1" minValue="64672" maxValue="157007" count="294">
        <n v="119553"/>
        <n v="134478"/>
        <n v="146356"/>
        <n v="119979"/>
        <n v="157007"/>
        <n v="152548"/>
        <n v="150678"/>
        <n v="127611"/>
        <n v="123940"/>
        <n v="138874"/>
        <n v="115772"/>
        <n v="127036"/>
        <n v="129018"/>
        <n v="98918"/>
        <n v="134272"/>
        <n v="137872"/>
        <n v="128990"/>
        <n v="124511"/>
        <n v="144803"/>
        <n v="122869"/>
        <n v="109823"/>
        <n v="101506"/>
        <n v="108630"/>
        <n v="109182"/>
        <n v="141961"/>
        <n v="103916"/>
        <n v="119291"/>
        <n v="133295"/>
        <n v="115701"/>
        <n v="122516"/>
        <n v="121812"/>
        <n v="137883"/>
        <n v="140636"/>
        <n v="145949"/>
        <n v="96583"/>
        <n v="119629"/>
        <n v="115687"/>
        <n v="104707"/>
        <n v="87787"/>
        <n v="108550"/>
        <n v="111773"/>
        <n v="115783"/>
        <n v="123458"/>
        <n v="135506"/>
        <n v="127066"/>
        <n v="134611"/>
        <n v="122275"/>
        <n v="146394"/>
        <n v="133861"/>
        <n v="122979"/>
        <n v="132381"/>
        <n v="104061"/>
        <n v="131156"/>
        <n v="130159"/>
        <n v="114053"/>
        <n v="118427"/>
        <n v="136567"/>
        <n v="131763"/>
        <n v="130216"/>
        <n v="122440"/>
        <n v="124323"/>
        <n v="141077"/>
        <n v="134724"/>
        <n v="135880"/>
        <n v="130794"/>
        <n v="121423"/>
        <n v="112180"/>
        <n v="123356"/>
        <n v="124847"/>
        <n v="134986"/>
        <n v="130736"/>
        <n v="122403"/>
        <n v="128669"/>
        <n v="127714"/>
        <n v="138540"/>
        <n v="137448"/>
        <n v="131295"/>
        <n v="132196"/>
        <n v="127813"/>
        <n v="126852"/>
        <n v="127824"/>
        <n v="130634"/>
        <n v="116752"/>
        <n v="121141"/>
        <n v="115910"/>
        <n v="127560"/>
        <n v="128216"/>
        <n v="140291"/>
        <n v="136162"/>
        <n v="142414"/>
        <n v="122563"/>
        <n v="125988"/>
        <n v="122293"/>
        <n v="137251"/>
        <n v="124052"/>
        <n v="126141"/>
        <n v="127357"/>
        <n v="123891"/>
        <n v="125622"/>
        <n v="119890"/>
        <n v="125072"/>
        <n v="125410"/>
        <n v="82695"/>
        <n v="90005"/>
        <n v="64672"/>
        <n v="107138"/>
        <n v="113562"/>
        <n v="87879"/>
        <n v="109912"/>
        <n v="121850"/>
        <n v="97756"/>
        <n v="82916"/>
        <n v="91701"/>
        <n v="108091"/>
        <n v="145803"/>
        <n v="98181"/>
        <n v="109320"/>
        <n v="133408"/>
        <n v="131873"/>
        <n v="126544"/>
        <n v="135270"/>
        <n v="125719"/>
        <n v="122056"/>
        <n v="136420"/>
        <n v="140305"/>
        <n v="115525"/>
        <n v="116703"/>
        <n v="131341"/>
        <n v="138478"/>
        <n v="138227"/>
        <n v="131074"/>
        <n v="145384"/>
        <n v="113712"/>
        <n v="141918"/>
        <n v="117989"/>
        <n v="119852"/>
        <n v="129960"/>
        <n v="129275"/>
        <n v="134175"/>
        <n v="119496"/>
        <n v="123742"/>
        <n v="118538"/>
        <n v="129330"/>
        <n v="119866"/>
        <n v="133624"/>
        <n v="139105"/>
        <n v="132281"/>
        <n v="141431"/>
        <n v="131343"/>
        <n v="122304"/>
        <n v="141740"/>
        <n v="110002"/>
        <n v="125521"/>
        <n v="127891"/>
        <n v="125036"/>
        <n v="120828"/>
        <n v="119845"/>
        <n v="95472"/>
        <n v="81846"/>
        <n v="76961"/>
        <n v="96761"/>
        <n v="72340"/>
        <n v="97121"/>
        <n v="99546"/>
        <n v="66822"/>
        <n v="67120"/>
        <n v="83393"/>
        <n v="86314"/>
        <n v="73441"/>
        <n v="85560"/>
        <n v="112811"/>
        <n v="100014"/>
        <n v="126462"/>
        <n v="130500"/>
        <n v="131821"/>
        <n v="111775"/>
        <n v="112956"/>
        <n v="122578"/>
        <n v="132564"/>
        <n v="117592"/>
        <n v="130884"/>
        <n v="117044"/>
        <n v="141002"/>
        <n v="142753"/>
        <n v="114935"/>
        <n v="108247"/>
        <n v="113329"/>
        <n v="121536"/>
        <n v="102265"/>
        <n v="142550"/>
        <n v="126696"/>
        <n v="130960"/>
        <n v="110117"/>
        <n v="128816"/>
        <n v="129441"/>
        <n v="132975"/>
        <n v="132353"/>
        <n v="117879"/>
        <n v="133383"/>
        <n v="129603"/>
        <n v="126886"/>
        <n v="142520"/>
        <n v="138842"/>
        <n v="122091"/>
        <n v="143031"/>
        <n v="136800"/>
        <n v="135642"/>
        <n v="129066"/>
        <n v="129251"/>
        <n v="139477"/>
        <n v="132071"/>
        <n v="127431"/>
        <n v="136163"/>
        <n v="135867"/>
        <n v="128185"/>
        <n v="114648"/>
        <n v="136776"/>
        <n v="149606"/>
        <n v="122367"/>
        <n v="115226"/>
        <n v="113934"/>
        <n v="115560"/>
        <n v="122639"/>
        <n v="95558"/>
        <n v="123679"/>
        <n v="140766"/>
        <n v="130495"/>
        <n v="112836"/>
        <n v="116621"/>
        <n v="151007"/>
        <n v="143212"/>
        <n v="145344"/>
        <n v="120274"/>
        <n v="140667"/>
        <n v="138813"/>
        <n v="132670"/>
        <n v="109227"/>
        <n v="144319"/>
        <n v="121394"/>
        <n v="128767"/>
        <n v="131209"/>
        <n v="127576"/>
        <n v="127843"/>
        <n v="115799"/>
        <n v="122389"/>
        <n v="129241"/>
        <n v="119486"/>
        <n v="123392"/>
        <n v="127859"/>
        <n v="112081"/>
        <n v="119838"/>
        <n v="129703"/>
        <n v="127804"/>
        <n v="133610"/>
        <n v="110587"/>
        <n v="128325"/>
        <n v="124030"/>
        <n v="119931"/>
        <n v="124013"/>
        <n v="115454"/>
        <n v="130057"/>
        <n v="117298"/>
        <n v="122880"/>
        <n v="120004"/>
        <n v="123557"/>
        <n v="134739"/>
        <n v="123191"/>
        <n v="125283"/>
        <n v="131005"/>
        <n v="135638"/>
        <n v="135453"/>
        <n v="129684"/>
        <n v="123140"/>
        <n v="127998"/>
        <n v="99548"/>
        <n v="119342"/>
        <n v="124665"/>
        <n v="114226"/>
        <n v="103764"/>
        <n v="126317"/>
        <n v="124983"/>
        <n v="114713"/>
        <n v="103299"/>
        <n v="122746"/>
        <n v="130148"/>
        <n v="135313"/>
        <n v="139314"/>
        <n v="120751"/>
        <n v="127225"/>
        <n v="117082"/>
        <n v="125888"/>
        <n v="127655"/>
        <n v="123870"/>
        <n v="136819"/>
      </sharedItems>
    </cacheField>
    <cacheField name="Female electors" numFmtId="0">
      <sharedItems containsSemiMixedTypes="0" containsString="0" containsNumber="1" containsInteger="1" minValue="58118" maxValue="147201" count="291">
        <n v="112317"/>
        <n v="123989"/>
        <n v="135240"/>
        <n v="112721"/>
        <n v="141699"/>
        <n v="138873"/>
        <n v="141700"/>
        <n v="121230"/>
        <n v="117478"/>
        <n v="130343"/>
        <n v="118486"/>
        <n v="122803"/>
        <n v="121940"/>
        <n v="100990"/>
        <n v="126572"/>
        <n v="128457"/>
        <n v="126622"/>
        <n v="117048"/>
        <n v="142221"/>
        <n v="122336"/>
        <n v="114497"/>
        <n v="102025"/>
        <n v="110710"/>
        <n v="113525"/>
        <n v="143209"/>
        <n v="104709"/>
        <n v="115480"/>
        <n v="114756"/>
        <n v="101947"/>
        <n v="108331"/>
        <n v="107130"/>
        <n v="122073"/>
        <n v="124521"/>
        <n v="133403"/>
        <n v="92827"/>
        <n v="110271"/>
        <n v="104539"/>
        <n v="97537"/>
        <n v="86259"/>
        <n v="103262"/>
        <n v="104630"/>
        <n v="110003"/>
        <n v="119489"/>
        <n v="130716"/>
        <n v="118463"/>
        <n v="121312"/>
        <n v="114253"/>
        <n v="131824"/>
        <n v="121108"/>
        <n v="119904"/>
        <n v="132781"/>
        <n v="98534"/>
        <n v="125113"/>
        <n v="120174"/>
        <n v="108803"/>
        <n v="117610"/>
        <n v="130143"/>
        <n v="124497"/>
        <n v="120646"/>
        <n v="113991"/>
        <n v="115464"/>
        <n v="130837"/>
        <n v="126391"/>
        <n v="131344"/>
        <n v="124895"/>
        <n v="112810"/>
        <n v="103713"/>
        <n v="116566"/>
        <n v="114606"/>
        <n v="124012"/>
        <n v="121267"/>
        <n v="125774"/>
        <n v="121862"/>
        <n v="118837"/>
        <n v="130600"/>
        <n v="127930"/>
        <n v="123722"/>
        <n v="122517"/>
        <n v="115639"/>
        <n v="116024"/>
        <n v="115392"/>
        <n v="116744"/>
        <n v="113990"/>
        <n v="115220"/>
        <n v="106566"/>
        <n v="118022"/>
        <n v="123481"/>
        <n v="128638"/>
        <n v="122508"/>
        <n v="134286"/>
        <n v="116880"/>
        <n v="122310"/>
        <n v="114290"/>
        <n v="125883"/>
        <n v="117260"/>
        <n v="118665"/>
        <n v="121290"/>
        <n v="118716"/>
        <n v="112047"/>
        <n v="120380"/>
        <n v="116640"/>
        <n v="81722"/>
        <n v="90418"/>
        <n v="58967"/>
        <n v="103656"/>
        <n v="113762"/>
        <n v="86833"/>
        <n v="110021"/>
        <n v="125818"/>
        <n v="100695"/>
        <n v="84285"/>
        <n v="97068"/>
        <n v="114452"/>
        <n v="140640"/>
        <n v="104181"/>
        <n v="115818"/>
        <n v="130707"/>
        <n v="132020"/>
        <n v="116942"/>
        <n v="122942"/>
        <n v="113889"/>
        <n v="112207"/>
        <n v="131558"/>
        <n v="130467"/>
        <n v="108536"/>
        <n v="107877"/>
        <n v="121229"/>
        <n v="124760"/>
        <n v="125249"/>
        <n v="119529"/>
        <n v="131855"/>
        <n v="106849"/>
        <n v="130893"/>
        <n v="109161"/>
        <n v="112080"/>
        <n v="122055"/>
        <n v="120703"/>
        <n v="123617"/>
        <n v="119481"/>
        <n v="114064"/>
        <n v="108234"/>
        <n v="123681"/>
        <n v="113769"/>
        <n v="127688"/>
        <n v="133596"/>
        <n v="135612"/>
        <n v="129516"/>
        <n v="133653"/>
        <n v="133826"/>
        <n v="143586"/>
        <n v="118438"/>
        <n v="133082"/>
        <n v="137273"/>
        <n v="122692"/>
        <n v="117558"/>
        <n v="104379"/>
        <n v="84258"/>
        <n v="79674"/>
        <n v="83053"/>
        <n v="93258"/>
        <n v="63390"/>
        <n v="92743"/>
        <n v="95907"/>
        <n v="58118"/>
        <n v="66386"/>
        <n v="83643"/>
        <n v="83067"/>
        <n v="69545"/>
        <n v="78164"/>
        <n v="109879"/>
        <n v="102146"/>
        <n v="124027"/>
        <n v="124185"/>
        <n v="121962"/>
        <n v="107687"/>
        <n v="104218"/>
        <n v="114975"/>
        <n v="127037"/>
        <n v="112588"/>
        <n v="121845"/>
        <n v="111747"/>
        <n v="134464"/>
        <n v="139256"/>
        <n v="118326"/>
        <n v="106391"/>
        <n v="113676"/>
        <n v="120494"/>
        <n v="105659"/>
        <n v="146878"/>
        <n v="122851"/>
        <n v="130267"/>
        <n v="107730"/>
        <n v="125258"/>
        <n v="124256"/>
        <n v="130206"/>
        <n v="132277"/>
        <n v="117308"/>
        <n v="128520"/>
        <n v="125686"/>
        <n v="121826"/>
        <n v="134033"/>
        <n v="133688"/>
        <n v="115097"/>
        <n v="135805"/>
        <n v="127165"/>
        <n v="127962"/>
        <n v="122965"/>
        <n v="122375"/>
        <n v="128130"/>
        <n v="123054"/>
        <n v="118029"/>
        <n v="126627"/>
        <n v="125675"/>
        <n v="117428"/>
        <n v="110887"/>
        <n v="130725"/>
        <n v="140808"/>
        <n v="114136"/>
        <n v="109407"/>
        <n v="111787"/>
        <n v="117117"/>
        <n v="116928"/>
        <n v="100378"/>
        <n v="118336"/>
        <n v="131608"/>
        <n v="125419"/>
        <n v="111860"/>
        <n v="115235"/>
        <n v="147201"/>
        <n v="136899"/>
        <n v="138649"/>
        <n v="115444"/>
        <n v="138470"/>
        <n v="128763"/>
        <n v="136255"/>
        <n v="109750"/>
        <n v="139804"/>
        <n v="112788"/>
        <n v="120110"/>
        <n v="121205"/>
        <n v="122191"/>
        <n v="124359"/>
        <n v="112341"/>
        <n v="112515"/>
        <n v="124162"/>
        <n v="112711"/>
        <n v="117062"/>
        <n v="125282"/>
        <n v="109972"/>
        <n v="114769"/>
        <n v="129288"/>
        <n v="122548"/>
        <n v="127115"/>
        <n v="108172"/>
        <n v="123130"/>
        <n v="114823"/>
        <n v="119746"/>
        <n v="120538"/>
        <n v="124714"/>
        <n v="114284"/>
        <n v="117791"/>
        <n v="115324"/>
        <n v="121866"/>
        <n v="134883"/>
        <n v="120472"/>
        <n v="118198"/>
        <n v="120487"/>
        <n v="130032"/>
        <n v="126289"/>
        <n v="121912"/>
        <n v="119843"/>
        <n v="124796"/>
        <n v="93711"/>
        <n v="119682"/>
        <n v="120915"/>
        <n v="108524"/>
        <n v="96735"/>
        <n v="121100"/>
        <n v="122042"/>
        <n v="106916"/>
        <n v="100454"/>
        <n v="114575"/>
        <n v="127373"/>
        <n v="133379"/>
        <n v="133503"/>
        <n v="115132"/>
        <n v="123973"/>
        <n v="112907"/>
        <n v="127045"/>
        <n v="122654"/>
        <n v="129548"/>
      </sharedItems>
    </cacheField>
    <cacheField name="Other gender electors" numFmtId="0">
      <sharedItems containsSemiMixedTypes="0" containsString="0" containsNumber="1" containsInteger="1" minValue="0" maxValue="25" count="22">
        <n v="3"/>
        <n v="1"/>
        <n v="4"/>
        <n v="0"/>
        <n v="9"/>
        <n v="2"/>
        <n v="7"/>
        <n v="5"/>
        <n v="6"/>
        <n v="18"/>
        <n v="13"/>
        <n v="17"/>
        <n v="14"/>
        <n v="11"/>
        <n v="10"/>
        <n v="8"/>
        <n v="12"/>
        <n v="25"/>
        <n v="16"/>
        <n v="22"/>
        <n v="19"/>
        <n v="21"/>
      </sharedItems>
    </cacheField>
    <cacheField name="Total electors" numFmtId="0">
      <sharedItems containsSemiMixedTypes="0" containsString="0" containsNumber="1" containsInteger="1" minValue="123643" maxValue="298709"/>
    </cacheField>
  </cacheFields>
  <extLst>
    <ext xmlns:x14="http://schemas.microsoft.com/office/spreadsheetml/2009/9/main" uri="{725AE2AE-9491-48be-B2B4-4EB974FC3084}">
      <x14:pivotCacheDefinition pivotCacheId="188897052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104.702081828706" createdVersion="8" refreshedVersion="8" minRefreshableVersion="3" recordCount="296" xr:uid="{17FD2222-A53B-455B-941C-755BA82AD8CB}">
  <cacheSource type="worksheet">
    <worksheetSource ref="A1:H1048576" sheet="SIR-2026"/>
  </cacheSource>
  <cacheFields count="8">
    <cacheField name="Name of District" numFmtId="0">
      <sharedItems containsBlank="1"/>
    </cacheField>
    <cacheField name="AC NO" numFmtId="0">
      <sharedItems containsString="0" containsBlank="1" containsNumber="1" containsInteger="1" minValue="1" maxValue="294"/>
    </cacheField>
    <cacheField name="AC name" numFmtId="0">
      <sharedItems containsBlank="1"/>
    </cacheField>
    <cacheField name="No of polling station" numFmtId="0">
      <sharedItems containsString="0" containsBlank="1" containsNumber="1" containsInteger="1" minValue="163" maxValue="80681"/>
    </cacheField>
    <cacheField name="Male electors" numFmtId="0">
      <sharedItems containsString="0" containsBlank="1" containsNumber="1" containsInteger="1" minValue="64672" maxValue="36199391"/>
    </cacheField>
    <cacheField name="Female electors" numFmtId="0">
      <sharedItems containsString="0" containsBlank="1" containsNumber="1" containsInteger="1" minValue="58118" maxValue="34615837"/>
    </cacheField>
    <cacheField name="Other gender electors" numFmtId="0">
      <sharedItems containsString="0" containsBlank="1" containsNumber="1" containsInteger="1" minValue="0" maxValue="1402"/>
    </cacheField>
    <cacheField name="Total electors" numFmtId="0">
      <sharedItems containsString="0" containsBlank="1" containsNumber="1" containsInteger="1" minValue="123643" maxValue="7081663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4">
  <r>
    <x v="0"/>
    <n v="1"/>
    <x v="0"/>
    <x v="0"/>
    <x v="0"/>
    <x v="0"/>
    <x v="0"/>
    <n v="231873"/>
  </r>
  <r>
    <x v="0"/>
    <n v="2"/>
    <x v="1"/>
    <x v="1"/>
    <x v="1"/>
    <x v="1"/>
    <x v="1"/>
    <n v="258468"/>
  </r>
  <r>
    <x v="0"/>
    <n v="3"/>
    <x v="2"/>
    <x v="2"/>
    <x v="2"/>
    <x v="2"/>
    <x v="1"/>
    <n v="281597"/>
  </r>
  <r>
    <x v="0"/>
    <n v="4"/>
    <x v="3"/>
    <x v="3"/>
    <x v="3"/>
    <x v="3"/>
    <x v="2"/>
    <n v="232704"/>
  </r>
  <r>
    <x v="0"/>
    <n v="5"/>
    <x v="4"/>
    <x v="4"/>
    <x v="4"/>
    <x v="4"/>
    <x v="0"/>
    <n v="298709"/>
  </r>
  <r>
    <x v="0"/>
    <n v="6"/>
    <x v="5"/>
    <x v="5"/>
    <x v="5"/>
    <x v="5"/>
    <x v="3"/>
    <n v="291421"/>
  </r>
  <r>
    <x v="0"/>
    <n v="7"/>
    <x v="6"/>
    <x v="6"/>
    <x v="6"/>
    <x v="6"/>
    <x v="3"/>
    <n v="292378"/>
  </r>
  <r>
    <x v="0"/>
    <n v="8"/>
    <x v="7"/>
    <x v="7"/>
    <x v="7"/>
    <x v="7"/>
    <x v="4"/>
    <n v="248850"/>
  </r>
  <r>
    <x v="0"/>
    <n v="9"/>
    <x v="8"/>
    <x v="8"/>
    <x v="8"/>
    <x v="8"/>
    <x v="1"/>
    <n v="241419"/>
  </r>
  <r>
    <x v="1"/>
    <n v="10"/>
    <x v="9"/>
    <x v="9"/>
    <x v="9"/>
    <x v="9"/>
    <x v="5"/>
    <n v="269219"/>
  </r>
  <r>
    <x v="1"/>
    <n v="11"/>
    <x v="10"/>
    <x v="10"/>
    <x v="10"/>
    <x v="10"/>
    <x v="5"/>
    <n v="234260"/>
  </r>
  <r>
    <x v="1"/>
    <n v="12"/>
    <x v="11"/>
    <x v="11"/>
    <x v="11"/>
    <x v="11"/>
    <x v="6"/>
    <n v="249846"/>
  </r>
  <r>
    <x v="1"/>
    <n v="13"/>
    <x v="12"/>
    <x v="12"/>
    <x v="12"/>
    <x v="12"/>
    <x v="7"/>
    <n v="250963"/>
  </r>
  <r>
    <x v="1"/>
    <n v="14"/>
    <x v="13"/>
    <x v="13"/>
    <x v="13"/>
    <x v="13"/>
    <x v="2"/>
    <n v="199912"/>
  </r>
  <r>
    <x v="2"/>
    <n v="15"/>
    <x v="14"/>
    <x v="14"/>
    <x v="14"/>
    <x v="14"/>
    <x v="4"/>
    <n v="260853"/>
  </r>
  <r>
    <x v="2"/>
    <n v="16"/>
    <x v="15"/>
    <x v="1"/>
    <x v="15"/>
    <x v="15"/>
    <x v="3"/>
    <n v="266329"/>
  </r>
  <r>
    <x v="2"/>
    <n v="17"/>
    <x v="16"/>
    <x v="15"/>
    <x v="16"/>
    <x v="16"/>
    <x v="2"/>
    <n v="255616"/>
  </r>
  <r>
    <x v="2"/>
    <n v="18"/>
    <x v="17"/>
    <x v="16"/>
    <x v="17"/>
    <x v="17"/>
    <x v="1"/>
    <n v="241560"/>
  </r>
  <r>
    <x v="2"/>
    <n v="19"/>
    <x v="18"/>
    <x v="17"/>
    <x v="18"/>
    <x v="18"/>
    <x v="8"/>
    <n v="287030"/>
  </r>
  <r>
    <x v="2"/>
    <n v="20"/>
    <x v="19"/>
    <x v="18"/>
    <x v="19"/>
    <x v="19"/>
    <x v="3"/>
    <n v="245205"/>
  </r>
  <r>
    <x v="2"/>
    <n v="21"/>
    <x v="20"/>
    <x v="19"/>
    <x v="20"/>
    <x v="20"/>
    <x v="5"/>
    <n v="224322"/>
  </r>
  <r>
    <x v="3"/>
    <n v="22"/>
    <x v="21"/>
    <x v="20"/>
    <x v="21"/>
    <x v="21"/>
    <x v="3"/>
    <n v="203531"/>
  </r>
  <r>
    <x v="4"/>
    <n v="23"/>
    <x v="22"/>
    <x v="21"/>
    <x v="22"/>
    <x v="22"/>
    <x v="5"/>
    <n v="219342"/>
  </r>
  <r>
    <x v="4"/>
    <n v="24"/>
    <x v="23"/>
    <x v="22"/>
    <x v="23"/>
    <x v="23"/>
    <x v="0"/>
    <n v="222710"/>
  </r>
  <r>
    <x v="4"/>
    <n v="25"/>
    <x v="24"/>
    <x v="23"/>
    <x v="24"/>
    <x v="24"/>
    <x v="2"/>
    <n v="285174"/>
  </r>
  <r>
    <x v="4"/>
    <n v="26"/>
    <x v="25"/>
    <x v="24"/>
    <x v="25"/>
    <x v="25"/>
    <x v="9"/>
    <n v="208643"/>
  </r>
  <r>
    <x v="4"/>
    <n v="27"/>
    <x v="26"/>
    <x v="16"/>
    <x v="26"/>
    <x v="26"/>
    <x v="0"/>
    <n v="234774"/>
  </r>
  <r>
    <x v="5"/>
    <n v="28"/>
    <x v="27"/>
    <x v="16"/>
    <x v="27"/>
    <x v="27"/>
    <x v="7"/>
    <n v="248056"/>
  </r>
  <r>
    <x v="5"/>
    <n v="29"/>
    <x v="28"/>
    <x v="25"/>
    <x v="28"/>
    <x v="28"/>
    <x v="4"/>
    <n v="217657"/>
  </r>
  <r>
    <x v="5"/>
    <n v="30"/>
    <x v="29"/>
    <x v="26"/>
    <x v="29"/>
    <x v="29"/>
    <x v="7"/>
    <n v="230852"/>
  </r>
  <r>
    <x v="5"/>
    <n v="31"/>
    <x v="30"/>
    <x v="0"/>
    <x v="30"/>
    <x v="30"/>
    <x v="0"/>
    <n v="228945"/>
  </r>
  <r>
    <x v="5"/>
    <n v="32"/>
    <x v="31"/>
    <x v="1"/>
    <x v="31"/>
    <x v="31"/>
    <x v="8"/>
    <n v="259962"/>
  </r>
  <r>
    <x v="5"/>
    <n v="33"/>
    <x v="32"/>
    <x v="27"/>
    <x v="32"/>
    <x v="32"/>
    <x v="7"/>
    <n v="265162"/>
  </r>
  <r>
    <x v="5"/>
    <n v="34"/>
    <x v="33"/>
    <x v="28"/>
    <x v="33"/>
    <x v="33"/>
    <x v="10"/>
    <n v="279365"/>
  </r>
  <r>
    <x v="5"/>
    <n v="35"/>
    <x v="34"/>
    <x v="29"/>
    <x v="34"/>
    <x v="34"/>
    <x v="11"/>
    <n v="189427"/>
  </r>
  <r>
    <x v="5"/>
    <n v="36"/>
    <x v="35"/>
    <x v="25"/>
    <x v="35"/>
    <x v="35"/>
    <x v="6"/>
    <n v="229907"/>
  </r>
  <r>
    <x v="6"/>
    <n v="37"/>
    <x v="36"/>
    <x v="30"/>
    <x v="36"/>
    <x v="36"/>
    <x v="2"/>
    <n v="220230"/>
  </r>
  <r>
    <x v="6"/>
    <n v="38"/>
    <x v="37"/>
    <x v="31"/>
    <x v="37"/>
    <x v="37"/>
    <x v="2"/>
    <n v="202248"/>
  </r>
  <r>
    <x v="6"/>
    <n v="39"/>
    <x v="38"/>
    <x v="32"/>
    <x v="38"/>
    <x v="38"/>
    <x v="12"/>
    <n v="174060"/>
  </r>
  <r>
    <x v="6"/>
    <n v="40"/>
    <x v="39"/>
    <x v="33"/>
    <x v="39"/>
    <x v="39"/>
    <x v="0"/>
    <n v="211815"/>
  </r>
  <r>
    <x v="6"/>
    <n v="41"/>
    <x v="40"/>
    <x v="0"/>
    <x v="40"/>
    <x v="40"/>
    <x v="13"/>
    <n v="216414"/>
  </r>
  <r>
    <x v="6"/>
    <n v="42"/>
    <x v="41"/>
    <x v="34"/>
    <x v="41"/>
    <x v="41"/>
    <x v="13"/>
    <n v="225797"/>
  </r>
  <r>
    <x v="7"/>
    <n v="43"/>
    <x v="42"/>
    <x v="35"/>
    <x v="42"/>
    <x v="42"/>
    <x v="7"/>
    <n v="242952"/>
  </r>
  <r>
    <x v="7"/>
    <n v="44"/>
    <x v="43"/>
    <x v="36"/>
    <x v="43"/>
    <x v="43"/>
    <x v="2"/>
    <n v="266226"/>
  </r>
  <r>
    <x v="7"/>
    <n v="45"/>
    <x v="44"/>
    <x v="37"/>
    <x v="44"/>
    <x v="44"/>
    <x v="7"/>
    <n v="245534"/>
  </r>
  <r>
    <x v="7"/>
    <n v="46"/>
    <x v="45"/>
    <x v="19"/>
    <x v="45"/>
    <x v="45"/>
    <x v="0"/>
    <n v="255926"/>
  </r>
  <r>
    <x v="7"/>
    <n v="47"/>
    <x v="46"/>
    <x v="24"/>
    <x v="46"/>
    <x v="46"/>
    <x v="12"/>
    <n v="236542"/>
  </r>
  <r>
    <x v="7"/>
    <n v="48"/>
    <x v="47"/>
    <x v="22"/>
    <x v="47"/>
    <x v="47"/>
    <x v="4"/>
    <n v="278227"/>
  </r>
  <r>
    <x v="7"/>
    <n v="49"/>
    <x v="48"/>
    <x v="16"/>
    <x v="48"/>
    <x v="48"/>
    <x v="5"/>
    <n v="254971"/>
  </r>
  <r>
    <x v="7"/>
    <n v="50"/>
    <x v="49"/>
    <x v="37"/>
    <x v="49"/>
    <x v="49"/>
    <x v="7"/>
    <n v="242888"/>
  </r>
  <r>
    <x v="7"/>
    <n v="51"/>
    <x v="50"/>
    <x v="38"/>
    <x v="50"/>
    <x v="50"/>
    <x v="4"/>
    <n v="265171"/>
  </r>
  <r>
    <x v="7"/>
    <n v="52"/>
    <x v="51"/>
    <x v="39"/>
    <x v="51"/>
    <x v="51"/>
    <x v="4"/>
    <n v="202604"/>
  </r>
  <r>
    <x v="7"/>
    <n v="53"/>
    <x v="52"/>
    <x v="40"/>
    <x v="52"/>
    <x v="52"/>
    <x v="6"/>
    <n v="256276"/>
  </r>
  <r>
    <x v="7"/>
    <n v="54"/>
    <x v="53"/>
    <x v="41"/>
    <x v="53"/>
    <x v="53"/>
    <x v="14"/>
    <n v="250343"/>
  </r>
  <r>
    <x v="8"/>
    <n v="55"/>
    <x v="54"/>
    <x v="26"/>
    <x v="54"/>
    <x v="54"/>
    <x v="7"/>
    <n v="222861"/>
  </r>
  <r>
    <x v="8"/>
    <n v="56"/>
    <x v="55"/>
    <x v="42"/>
    <x v="55"/>
    <x v="55"/>
    <x v="0"/>
    <n v="236040"/>
  </r>
  <r>
    <x v="8"/>
    <n v="57"/>
    <x v="56"/>
    <x v="43"/>
    <x v="56"/>
    <x v="56"/>
    <x v="5"/>
    <n v="266712"/>
  </r>
  <r>
    <x v="8"/>
    <n v="58"/>
    <x v="57"/>
    <x v="10"/>
    <x v="57"/>
    <x v="57"/>
    <x v="2"/>
    <n v="256264"/>
  </r>
  <r>
    <x v="8"/>
    <n v="59"/>
    <x v="58"/>
    <x v="12"/>
    <x v="58"/>
    <x v="58"/>
    <x v="3"/>
    <n v="250862"/>
  </r>
  <r>
    <x v="8"/>
    <n v="60"/>
    <x v="59"/>
    <x v="44"/>
    <x v="59"/>
    <x v="59"/>
    <x v="2"/>
    <n v="236435"/>
  </r>
  <r>
    <x v="8"/>
    <n v="61"/>
    <x v="60"/>
    <x v="45"/>
    <x v="60"/>
    <x v="60"/>
    <x v="0"/>
    <n v="239790"/>
  </r>
  <r>
    <x v="8"/>
    <n v="62"/>
    <x v="61"/>
    <x v="15"/>
    <x v="61"/>
    <x v="61"/>
    <x v="1"/>
    <n v="271915"/>
  </r>
  <r>
    <x v="8"/>
    <n v="63"/>
    <x v="62"/>
    <x v="46"/>
    <x v="62"/>
    <x v="62"/>
    <x v="8"/>
    <n v="261121"/>
  </r>
  <r>
    <x v="8"/>
    <n v="64"/>
    <x v="63"/>
    <x v="28"/>
    <x v="63"/>
    <x v="63"/>
    <x v="1"/>
    <n v="267225"/>
  </r>
  <r>
    <x v="8"/>
    <n v="65"/>
    <x v="64"/>
    <x v="47"/>
    <x v="64"/>
    <x v="64"/>
    <x v="2"/>
    <n v="255693"/>
  </r>
  <r>
    <x v="8"/>
    <n v="66"/>
    <x v="65"/>
    <x v="48"/>
    <x v="65"/>
    <x v="65"/>
    <x v="0"/>
    <n v="234236"/>
  </r>
  <r>
    <x v="8"/>
    <n v="67"/>
    <x v="66"/>
    <x v="49"/>
    <x v="66"/>
    <x v="66"/>
    <x v="7"/>
    <n v="215898"/>
  </r>
  <r>
    <x v="8"/>
    <n v="68"/>
    <x v="67"/>
    <x v="8"/>
    <x v="67"/>
    <x v="67"/>
    <x v="0"/>
    <n v="239925"/>
  </r>
  <r>
    <x v="8"/>
    <n v="69"/>
    <x v="68"/>
    <x v="41"/>
    <x v="68"/>
    <x v="68"/>
    <x v="2"/>
    <n v="239457"/>
  </r>
  <r>
    <x v="8"/>
    <n v="70"/>
    <x v="69"/>
    <x v="28"/>
    <x v="69"/>
    <x v="69"/>
    <x v="8"/>
    <n v="259004"/>
  </r>
  <r>
    <x v="8"/>
    <n v="71"/>
    <x v="70"/>
    <x v="50"/>
    <x v="70"/>
    <x v="70"/>
    <x v="2"/>
    <n v="252007"/>
  </r>
  <r>
    <x v="8"/>
    <n v="72"/>
    <x v="71"/>
    <x v="51"/>
    <x v="71"/>
    <x v="71"/>
    <x v="13"/>
    <n v="248188"/>
  </r>
  <r>
    <x v="8"/>
    <n v="73"/>
    <x v="72"/>
    <x v="1"/>
    <x v="72"/>
    <x v="72"/>
    <x v="15"/>
    <n v="250539"/>
  </r>
  <r>
    <x v="8"/>
    <n v="74"/>
    <x v="73"/>
    <x v="12"/>
    <x v="73"/>
    <x v="73"/>
    <x v="5"/>
    <n v="246553"/>
  </r>
  <r>
    <x v="8"/>
    <n v="75"/>
    <x v="74"/>
    <x v="52"/>
    <x v="74"/>
    <x v="74"/>
    <x v="0"/>
    <n v="269143"/>
  </r>
  <r>
    <x v="8"/>
    <n v="76"/>
    <x v="75"/>
    <x v="53"/>
    <x v="75"/>
    <x v="75"/>
    <x v="5"/>
    <n v="265380"/>
  </r>
  <r>
    <x v="9"/>
    <n v="77"/>
    <x v="76"/>
    <x v="41"/>
    <x v="76"/>
    <x v="76"/>
    <x v="0"/>
    <n v="255020"/>
  </r>
  <r>
    <x v="9"/>
    <n v="78"/>
    <x v="77"/>
    <x v="7"/>
    <x v="77"/>
    <x v="77"/>
    <x v="2"/>
    <n v="254717"/>
  </r>
  <r>
    <x v="9"/>
    <n v="79"/>
    <x v="78"/>
    <x v="45"/>
    <x v="78"/>
    <x v="78"/>
    <x v="2"/>
    <n v="243456"/>
  </r>
  <r>
    <x v="9"/>
    <n v="80"/>
    <x v="79"/>
    <x v="54"/>
    <x v="79"/>
    <x v="79"/>
    <x v="0"/>
    <n v="242879"/>
  </r>
  <r>
    <x v="9"/>
    <n v="81"/>
    <x v="80"/>
    <x v="41"/>
    <x v="80"/>
    <x v="80"/>
    <x v="2"/>
    <n v="243220"/>
  </r>
  <r>
    <x v="9"/>
    <n v="82"/>
    <x v="81"/>
    <x v="43"/>
    <x v="81"/>
    <x v="81"/>
    <x v="3"/>
    <n v="247378"/>
  </r>
  <r>
    <x v="9"/>
    <n v="83"/>
    <x v="82"/>
    <x v="36"/>
    <x v="82"/>
    <x v="82"/>
    <x v="7"/>
    <n v="230747"/>
  </r>
  <r>
    <x v="9"/>
    <n v="84"/>
    <x v="83"/>
    <x v="1"/>
    <x v="83"/>
    <x v="83"/>
    <x v="0"/>
    <n v="236364"/>
  </r>
  <r>
    <x v="9"/>
    <n v="85"/>
    <x v="84"/>
    <x v="25"/>
    <x v="84"/>
    <x v="84"/>
    <x v="1"/>
    <n v="222477"/>
  </r>
  <r>
    <x v="9"/>
    <n v="86"/>
    <x v="85"/>
    <x v="55"/>
    <x v="85"/>
    <x v="85"/>
    <x v="4"/>
    <n v="245591"/>
  </r>
  <r>
    <x v="9"/>
    <n v="87"/>
    <x v="86"/>
    <x v="56"/>
    <x v="86"/>
    <x v="86"/>
    <x v="10"/>
    <n v="251710"/>
  </r>
  <r>
    <x v="9"/>
    <n v="88"/>
    <x v="87"/>
    <x v="57"/>
    <x v="87"/>
    <x v="87"/>
    <x v="0"/>
    <n v="268932"/>
  </r>
  <r>
    <x v="9"/>
    <n v="89"/>
    <x v="88"/>
    <x v="28"/>
    <x v="88"/>
    <x v="88"/>
    <x v="16"/>
    <n v="258682"/>
  </r>
  <r>
    <x v="9"/>
    <n v="90"/>
    <x v="89"/>
    <x v="58"/>
    <x v="89"/>
    <x v="89"/>
    <x v="5"/>
    <n v="276702"/>
  </r>
  <r>
    <x v="9"/>
    <n v="91"/>
    <x v="90"/>
    <x v="12"/>
    <x v="90"/>
    <x v="90"/>
    <x v="0"/>
    <n v="239446"/>
  </r>
  <r>
    <x v="9"/>
    <n v="92"/>
    <x v="91"/>
    <x v="28"/>
    <x v="91"/>
    <x v="91"/>
    <x v="15"/>
    <n v="248306"/>
  </r>
  <r>
    <x v="9"/>
    <n v="93"/>
    <x v="92"/>
    <x v="3"/>
    <x v="92"/>
    <x v="92"/>
    <x v="7"/>
    <n v="236588"/>
  </r>
  <r>
    <x v="10"/>
    <n v="94"/>
    <x v="93"/>
    <x v="5"/>
    <x v="93"/>
    <x v="93"/>
    <x v="15"/>
    <n v="263142"/>
  </r>
  <r>
    <x v="10"/>
    <n v="95"/>
    <x v="94"/>
    <x v="1"/>
    <x v="94"/>
    <x v="94"/>
    <x v="17"/>
    <n v="241337"/>
  </r>
  <r>
    <x v="10"/>
    <n v="96"/>
    <x v="95"/>
    <x v="46"/>
    <x v="95"/>
    <x v="95"/>
    <x v="15"/>
    <n v="244814"/>
  </r>
  <r>
    <x v="10"/>
    <n v="97"/>
    <x v="96"/>
    <x v="7"/>
    <x v="96"/>
    <x v="96"/>
    <x v="7"/>
    <n v="248652"/>
  </r>
  <r>
    <x v="10"/>
    <n v="98"/>
    <x v="97"/>
    <x v="18"/>
    <x v="97"/>
    <x v="67"/>
    <x v="5"/>
    <n v="240459"/>
  </r>
  <r>
    <x v="10"/>
    <n v="99"/>
    <x v="98"/>
    <x v="36"/>
    <x v="98"/>
    <x v="97"/>
    <x v="2"/>
    <n v="244342"/>
  </r>
  <r>
    <x v="10"/>
    <n v="100"/>
    <x v="99"/>
    <x v="16"/>
    <x v="99"/>
    <x v="98"/>
    <x v="15"/>
    <n v="231945"/>
  </r>
  <r>
    <x v="10"/>
    <n v="101"/>
    <x v="100"/>
    <x v="28"/>
    <x v="100"/>
    <x v="99"/>
    <x v="15"/>
    <n v="245460"/>
  </r>
  <r>
    <x v="10"/>
    <n v="102"/>
    <x v="101"/>
    <x v="12"/>
    <x v="101"/>
    <x v="100"/>
    <x v="7"/>
    <n v="242055"/>
  </r>
  <r>
    <x v="10"/>
    <n v="103"/>
    <x v="102"/>
    <x v="39"/>
    <x v="102"/>
    <x v="101"/>
    <x v="2"/>
    <n v="164421"/>
  </r>
  <r>
    <x v="10"/>
    <n v="104"/>
    <x v="103"/>
    <x v="59"/>
    <x v="103"/>
    <x v="102"/>
    <x v="6"/>
    <n v="180430"/>
  </r>
  <r>
    <x v="10"/>
    <n v="105"/>
    <x v="104"/>
    <x v="60"/>
    <x v="104"/>
    <x v="103"/>
    <x v="2"/>
    <n v="123643"/>
  </r>
  <r>
    <x v="10"/>
    <n v="106"/>
    <x v="105"/>
    <x v="25"/>
    <x v="105"/>
    <x v="104"/>
    <x v="16"/>
    <n v="210806"/>
  </r>
  <r>
    <x v="10"/>
    <n v="107"/>
    <x v="106"/>
    <x v="61"/>
    <x v="106"/>
    <x v="105"/>
    <x v="2"/>
    <n v="227328"/>
  </r>
  <r>
    <x v="10"/>
    <n v="108"/>
    <x v="107"/>
    <x v="62"/>
    <x v="107"/>
    <x v="106"/>
    <x v="1"/>
    <n v="174713"/>
  </r>
  <r>
    <x v="10"/>
    <n v="109"/>
    <x v="108"/>
    <x v="63"/>
    <x v="108"/>
    <x v="107"/>
    <x v="4"/>
    <n v="219942"/>
  </r>
  <r>
    <x v="10"/>
    <n v="110"/>
    <x v="109"/>
    <x v="43"/>
    <x v="109"/>
    <x v="108"/>
    <x v="2"/>
    <n v="247672"/>
  </r>
  <r>
    <x v="10"/>
    <n v="111"/>
    <x v="110"/>
    <x v="64"/>
    <x v="110"/>
    <x v="109"/>
    <x v="2"/>
    <n v="198455"/>
  </r>
  <r>
    <x v="10"/>
    <n v="112"/>
    <x v="111"/>
    <x v="65"/>
    <x v="111"/>
    <x v="110"/>
    <x v="8"/>
    <n v="167207"/>
  </r>
  <r>
    <x v="10"/>
    <n v="113"/>
    <x v="112"/>
    <x v="35"/>
    <x v="112"/>
    <x v="111"/>
    <x v="2"/>
    <n v="188773"/>
  </r>
  <r>
    <x v="10"/>
    <n v="114"/>
    <x v="113"/>
    <x v="1"/>
    <x v="113"/>
    <x v="112"/>
    <x v="6"/>
    <n v="222550"/>
  </r>
  <r>
    <x v="10"/>
    <n v="115"/>
    <x v="114"/>
    <x v="66"/>
    <x v="114"/>
    <x v="113"/>
    <x v="7"/>
    <n v="286448"/>
  </r>
  <r>
    <x v="10"/>
    <n v="116"/>
    <x v="115"/>
    <x v="50"/>
    <x v="115"/>
    <x v="114"/>
    <x v="15"/>
    <n v="202370"/>
  </r>
  <r>
    <x v="10"/>
    <n v="117"/>
    <x v="116"/>
    <x v="67"/>
    <x v="116"/>
    <x v="115"/>
    <x v="15"/>
    <n v="225146"/>
  </r>
  <r>
    <x v="10"/>
    <n v="118"/>
    <x v="117"/>
    <x v="22"/>
    <x v="117"/>
    <x v="116"/>
    <x v="2"/>
    <n v="264119"/>
  </r>
  <r>
    <x v="10"/>
    <n v="119"/>
    <x v="118"/>
    <x v="51"/>
    <x v="118"/>
    <x v="117"/>
    <x v="18"/>
    <n v="263909"/>
  </r>
  <r>
    <x v="10"/>
    <n v="120"/>
    <x v="119"/>
    <x v="41"/>
    <x v="119"/>
    <x v="118"/>
    <x v="2"/>
    <n v="243490"/>
  </r>
  <r>
    <x v="10"/>
    <n v="121"/>
    <x v="120"/>
    <x v="61"/>
    <x v="120"/>
    <x v="119"/>
    <x v="7"/>
    <n v="258217"/>
  </r>
  <r>
    <x v="10"/>
    <n v="122"/>
    <x v="121"/>
    <x v="68"/>
    <x v="121"/>
    <x v="120"/>
    <x v="2"/>
    <n v="239612"/>
  </r>
  <r>
    <x v="10"/>
    <n v="123"/>
    <x v="122"/>
    <x v="35"/>
    <x v="122"/>
    <x v="121"/>
    <x v="7"/>
    <n v="234268"/>
  </r>
  <r>
    <x v="10"/>
    <n v="124"/>
    <x v="123"/>
    <x v="56"/>
    <x v="123"/>
    <x v="122"/>
    <x v="7"/>
    <n v="267983"/>
  </r>
  <r>
    <x v="10"/>
    <n v="125"/>
    <x v="124"/>
    <x v="52"/>
    <x v="124"/>
    <x v="123"/>
    <x v="0"/>
    <n v="270775"/>
  </r>
  <r>
    <x v="10"/>
    <n v="126"/>
    <x v="125"/>
    <x v="8"/>
    <x v="125"/>
    <x v="124"/>
    <x v="2"/>
    <n v="224065"/>
  </r>
  <r>
    <x v="11"/>
    <n v="127"/>
    <x v="126"/>
    <x v="19"/>
    <x v="126"/>
    <x v="125"/>
    <x v="2"/>
    <n v="224584"/>
  </r>
  <r>
    <x v="11"/>
    <n v="128"/>
    <x v="127"/>
    <x v="1"/>
    <x v="127"/>
    <x v="126"/>
    <x v="5"/>
    <n v="252572"/>
  </r>
  <r>
    <x v="11"/>
    <n v="129"/>
    <x v="128"/>
    <x v="61"/>
    <x v="128"/>
    <x v="127"/>
    <x v="9"/>
    <n v="263256"/>
  </r>
  <r>
    <x v="11"/>
    <n v="130"/>
    <x v="129"/>
    <x v="69"/>
    <x v="129"/>
    <x v="128"/>
    <x v="5"/>
    <n v="263478"/>
  </r>
  <r>
    <x v="11"/>
    <n v="131"/>
    <x v="130"/>
    <x v="18"/>
    <x v="130"/>
    <x v="129"/>
    <x v="2"/>
    <n v="250607"/>
  </r>
  <r>
    <x v="11"/>
    <n v="132"/>
    <x v="131"/>
    <x v="70"/>
    <x v="131"/>
    <x v="130"/>
    <x v="1"/>
    <n v="277240"/>
  </r>
  <r>
    <x v="11"/>
    <n v="133"/>
    <x v="132"/>
    <x v="42"/>
    <x v="132"/>
    <x v="131"/>
    <x v="7"/>
    <n v="220566"/>
  </r>
  <r>
    <x v="11"/>
    <n v="134"/>
    <x v="133"/>
    <x v="57"/>
    <x v="133"/>
    <x v="132"/>
    <x v="7"/>
    <n v="272816"/>
  </r>
  <r>
    <x v="11"/>
    <n v="135"/>
    <x v="134"/>
    <x v="55"/>
    <x v="134"/>
    <x v="133"/>
    <x v="2"/>
    <n v="227154"/>
  </r>
  <r>
    <x v="11"/>
    <n v="136"/>
    <x v="135"/>
    <x v="71"/>
    <x v="135"/>
    <x v="134"/>
    <x v="6"/>
    <n v="231939"/>
  </r>
  <r>
    <x v="11"/>
    <n v="137"/>
    <x v="136"/>
    <x v="52"/>
    <x v="136"/>
    <x v="135"/>
    <x v="13"/>
    <n v="252026"/>
  </r>
  <r>
    <x v="11"/>
    <n v="138"/>
    <x v="137"/>
    <x v="46"/>
    <x v="137"/>
    <x v="136"/>
    <x v="12"/>
    <n v="249992"/>
  </r>
  <r>
    <x v="11"/>
    <n v="139"/>
    <x v="138"/>
    <x v="36"/>
    <x v="138"/>
    <x v="137"/>
    <x v="17"/>
    <n v="257817"/>
  </r>
  <r>
    <x v="11"/>
    <n v="140"/>
    <x v="139"/>
    <x v="61"/>
    <x v="139"/>
    <x v="138"/>
    <x v="19"/>
    <n v="238999"/>
  </r>
  <r>
    <x v="11"/>
    <n v="141"/>
    <x v="140"/>
    <x v="55"/>
    <x v="140"/>
    <x v="139"/>
    <x v="5"/>
    <n v="237808"/>
  </r>
  <r>
    <x v="11"/>
    <n v="142"/>
    <x v="141"/>
    <x v="72"/>
    <x v="141"/>
    <x v="140"/>
    <x v="8"/>
    <n v="226778"/>
  </r>
  <r>
    <x v="11"/>
    <n v="143"/>
    <x v="142"/>
    <x v="15"/>
    <x v="142"/>
    <x v="141"/>
    <x v="2"/>
    <n v="253015"/>
  </r>
  <r>
    <x v="11"/>
    <n v="144"/>
    <x v="143"/>
    <x v="16"/>
    <x v="143"/>
    <x v="142"/>
    <x v="4"/>
    <n v="233644"/>
  </r>
  <r>
    <x v="11"/>
    <n v="145"/>
    <x v="144"/>
    <x v="54"/>
    <x v="144"/>
    <x v="143"/>
    <x v="15"/>
    <n v="261320"/>
  </r>
  <r>
    <x v="11"/>
    <n v="146"/>
    <x v="145"/>
    <x v="73"/>
    <x v="145"/>
    <x v="144"/>
    <x v="20"/>
    <n v="272720"/>
  </r>
  <r>
    <x v="11"/>
    <n v="147"/>
    <x v="146"/>
    <x v="5"/>
    <x v="146"/>
    <x v="145"/>
    <x v="9"/>
    <n v="267911"/>
  </r>
  <r>
    <x v="11"/>
    <n v="148"/>
    <x v="147"/>
    <x v="52"/>
    <x v="147"/>
    <x v="146"/>
    <x v="18"/>
    <n v="270963"/>
  </r>
  <r>
    <x v="11"/>
    <n v="149"/>
    <x v="148"/>
    <x v="74"/>
    <x v="148"/>
    <x v="147"/>
    <x v="6"/>
    <n v="265003"/>
  </r>
  <r>
    <x v="11"/>
    <n v="150"/>
    <x v="149"/>
    <x v="75"/>
    <x v="149"/>
    <x v="148"/>
    <x v="8"/>
    <n v="256136"/>
  </r>
  <r>
    <x v="11"/>
    <n v="151"/>
    <x v="150"/>
    <x v="76"/>
    <x v="150"/>
    <x v="149"/>
    <x v="21"/>
    <n v="285347"/>
  </r>
  <r>
    <x v="11"/>
    <n v="152"/>
    <x v="151"/>
    <x v="4"/>
    <x v="151"/>
    <x v="150"/>
    <x v="15"/>
    <n v="228448"/>
  </r>
  <r>
    <x v="11"/>
    <n v="153"/>
    <x v="152"/>
    <x v="66"/>
    <x v="152"/>
    <x v="151"/>
    <x v="8"/>
    <n v="258609"/>
  </r>
  <r>
    <x v="11"/>
    <n v="154"/>
    <x v="153"/>
    <x v="77"/>
    <x v="153"/>
    <x v="152"/>
    <x v="2"/>
    <n v="265168"/>
  </r>
  <r>
    <x v="11"/>
    <n v="155"/>
    <x v="154"/>
    <x v="38"/>
    <x v="154"/>
    <x v="153"/>
    <x v="10"/>
    <n v="247741"/>
  </r>
  <r>
    <x v="11"/>
    <n v="156"/>
    <x v="155"/>
    <x v="11"/>
    <x v="155"/>
    <x v="154"/>
    <x v="8"/>
    <n v="238392"/>
  </r>
  <r>
    <x v="11"/>
    <n v="157"/>
    <x v="156"/>
    <x v="78"/>
    <x v="156"/>
    <x v="155"/>
    <x v="0"/>
    <n v="224227"/>
  </r>
  <r>
    <x v="12"/>
    <n v="158"/>
    <x v="157"/>
    <x v="27"/>
    <x v="157"/>
    <x v="156"/>
    <x v="7"/>
    <n v="179735"/>
  </r>
  <r>
    <x v="12"/>
    <n v="159"/>
    <x v="158"/>
    <x v="79"/>
    <x v="158"/>
    <x v="157"/>
    <x v="7"/>
    <n v="161525"/>
  </r>
  <r>
    <x v="12"/>
    <n v="160"/>
    <x v="159"/>
    <x v="67"/>
    <x v="159"/>
    <x v="158"/>
    <x v="6"/>
    <n v="160021"/>
  </r>
  <r>
    <x v="12"/>
    <n v="161"/>
    <x v="160"/>
    <x v="80"/>
    <x v="160"/>
    <x v="159"/>
    <x v="8"/>
    <n v="190025"/>
  </r>
  <r>
    <x v="13"/>
    <n v="162"/>
    <x v="161"/>
    <x v="81"/>
    <x v="161"/>
    <x v="160"/>
    <x v="8"/>
    <n v="135736"/>
  </r>
  <r>
    <x v="13"/>
    <n v="163"/>
    <x v="162"/>
    <x v="19"/>
    <x v="162"/>
    <x v="161"/>
    <x v="4"/>
    <n v="189873"/>
  </r>
  <r>
    <x v="13"/>
    <n v="164"/>
    <x v="163"/>
    <x v="82"/>
    <x v="163"/>
    <x v="162"/>
    <x v="8"/>
    <n v="195459"/>
  </r>
  <r>
    <x v="13"/>
    <n v="165"/>
    <x v="164"/>
    <x v="44"/>
    <x v="164"/>
    <x v="163"/>
    <x v="3"/>
    <n v="124940"/>
  </r>
  <r>
    <x v="13"/>
    <n v="166"/>
    <x v="165"/>
    <x v="83"/>
    <x v="165"/>
    <x v="164"/>
    <x v="6"/>
    <n v="133513"/>
  </r>
  <r>
    <x v="13"/>
    <n v="167"/>
    <x v="166"/>
    <x v="84"/>
    <x v="166"/>
    <x v="165"/>
    <x v="15"/>
    <n v="167044"/>
  </r>
  <r>
    <x v="13"/>
    <n v="168"/>
    <x v="167"/>
    <x v="56"/>
    <x v="167"/>
    <x v="166"/>
    <x v="0"/>
    <n v="169384"/>
  </r>
  <r>
    <x v="14"/>
    <n v="169"/>
    <x v="168"/>
    <x v="85"/>
    <x v="168"/>
    <x v="167"/>
    <x v="7"/>
    <n v="142991"/>
  </r>
  <r>
    <x v="14"/>
    <n v="170"/>
    <x v="169"/>
    <x v="33"/>
    <x v="169"/>
    <x v="168"/>
    <x v="15"/>
    <n v="163732"/>
  </r>
  <r>
    <x v="14"/>
    <n v="171"/>
    <x v="170"/>
    <x v="86"/>
    <x v="170"/>
    <x v="169"/>
    <x v="7"/>
    <n v="222695"/>
  </r>
  <r>
    <x v="14"/>
    <n v="172"/>
    <x v="171"/>
    <x v="87"/>
    <x v="171"/>
    <x v="170"/>
    <x v="2"/>
    <n v="202164"/>
  </r>
  <r>
    <x v="14"/>
    <n v="173"/>
    <x v="172"/>
    <x v="74"/>
    <x v="172"/>
    <x v="171"/>
    <x v="5"/>
    <n v="250491"/>
  </r>
  <r>
    <x v="14"/>
    <n v="174"/>
    <x v="173"/>
    <x v="88"/>
    <x v="173"/>
    <x v="172"/>
    <x v="15"/>
    <n v="254693"/>
  </r>
  <r>
    <x v="14"/>
    <n v="175"/>
    <x v="174"/>
    <x v="38"/>
    <x v="174"/>
    <x v="173"/>
    <x v="0"/>
    <n v="253786"/>
  </r>
  <r>
    <x v="14"/>
    <n v="176"/>
    <x v="175"/>
    <x v="37"/>
    <x v="175"/>
    <x v="174"/>
    <x v="15"/>
    <n v="219470"/>
  </r>
  <r>
    <x v="14"/>
    <n v="177"/>
    <x v="176"/>
    <x v="89"/>
    <x v="176"/>
    <x v="175"/>
    <x v="0"/>
    <n v="217177"/>
  </r>
  <r>
    <x v="14"/>
    <n v="178"/>
    <x v="177"/>
    <x v="14"/>
    <x v="177"/>
    <x v="176"/>
    <x v="10"/>
    <n v="237566"/>
  </r>
  <r>
    <x v="14"/>
    <n v="179"/>
    <x v="178"/>
    <x v="88"/>
    <x v="178"/>
    <x v="177"/>
    <x v="2"/>
    <n v="259605"/>
  </r>
  <r>
    <x v="14"/>
    <n v="180"/>
    <x v="179"/>
    <x v="64"/>
    <x v="179"/>
    <x v="178"/>
    <x v="2"/>
    <n v="230184"/>
  </r>
  <r>
    <x v="14"/>
    <n v="181"/>
    <x v="180"/>
    <x v="38"/>
    <x v="180"/>
    <x v="179"/>
    <x v="7"/>
    <n v="252734"/>
  </r>
  <r>
    <x v="14"/>
    <n v="182"/>
    <x v="181"/>
    <x v="16"/>
    <x v="181"/>
    <x v="180"/>
    <x v="3"/>
    <n v="228791"/>
  </r>
  <r>
    <x v="14"/>
    <n v="183"/>
    <x v="182"/>
    <x v="90"/>
    <x v="182"/>
    <x v="181"/>
    <x v="4"/>
    <n v="275475"/>
  </r>
  <r>
    <x v="14"/>
    <n v="184"/>
    <x v="183"/>
    <x v="66"/>
    <x v="183"/>
    <x v="182"/>
    <x v="15"/>
    <n v="282017"/>
  </r>
  <r>
    <x v="15"/>
    <n v="185"/>
    <x v="184"/>
    <x v="56"/>
    <x v="184"/>
    <x v="183"/>
    <x v="7"/>
    <n v="233266"/>
  </r>
  <r>
    <x v="15"/>
    <n v="186"/>
    <x v="185"/>
    <x v="18"/>
    <x v="185"/>
    <x v="184"/>
    <x v="2"/>
    <n v="214642"/>
  </r>
  <r>
    <x v="15"/>
    <n v="187"/>
    <x v="186"/>
    <x v="80"/>
    <x v="186"/>
    <x v="185"/>
    <x v="14"/>
    <n v="227015"/>
  </r>
  <r>
    <x v="15"/>
    <n v="188"/>
    <x v="187"/>
    <x v="84"/>
    <x v="187"/>
    <x v="186"/>
    <x v="8"/>
    <n v="242036"/>
  </r>
  <r>
    <x v="15"/>
    <n v="189"/>
    <x v="188"/>
    <x v="14"/>
    <x v="188"/>
    <x v="187"/>
    <x v="15"/>
    <n v="207932"/>
  </r>
  <r>
    <x v="15"/>
    <n v="190"/>
    <x v="189"/>
    <x v="91"/>
    <x v="189"/>
    <x v="188"/>
    <x v="13"/>
    <n v="289439"/>
  </r>
  <r>
    <x v="15"/>
    <n v="191"/>
    <x v="190"/>
    <x v="69"/>
    <x v="190"/>
    <x v="189"/>
    <x v="8"/>
    <n v="249553"/>
  </r>
  <r>
    <x v="15"/>
    <n v="192"/>
    <x v="191"/>
    <x v="80"/>
    <x v="191"/>
    <x v="190"/>
    <x v="16"/>
    <n v="261239"/>
  </r>
  <r>
    <x v="15"/>
    <n v="193"/>
    <x v="192"/>
    <x v="45"/>
    <x v="192"/>
    <x v="191"/>
    <x v="7"/>
    <n v="217852"/>
  </r>
  <r>
    <x v="15"/>
    <n v="194"/>
    <x v="193"/>
    <x v="88"/>
    <x v="193"/>
    <x v="192"/>
    <x v="0"/>
    <n v="254077"/>
  </r>
  <r>
    <x v="15"/>
    <n v="195"/>
    <x v="194"/>
    <x v="53"/>
    <x v="194"/>
    <x v="193"/>
    <x v="2"/>
    <n v="253701"/>
  </r>
  <r>
    <x v="15"/>
    <n v="196"/>
    <x v="195"/>
    <x v="92"/>
    <x v="195"/>
    <x v="194"/>
    <x v="0"/>
    <n v="263184"/>
  </r>
  <r>
    <x v="15"/>
    <n v="197"/>
    <x v="196"/>
    <x v="82"/>
    <x v="196"/>
    <x v="195"/>
    <x v="5"/>
    <n v="264632"/>
  </r>
  <r>
    <x v="15"/>
    <n v="198"/>
    <x v="197"/>
    <x v="46"/>
    <x v="197"/>
    <x v="196"/>
    <x v="7"/>
    <n v="235192"/>
  </r>
  <r>
    <x v="15"/>
    <n v="199"/>
    <x v="198"/>
    <x v="57"/>
    <x v="198"/>
    <x v="197"/>
    <x v="1"/>
    <n v="261904"/>
  </r>
  <r>
    <x v="15"/>
    <n v="200"/>
    <x v="199"/>
    <x v="20"/>
    <x v="199"/>
    <x v="198"/>
    <x v="5"/>
    <n v="255291"/>
  </r>
  <r>
    <x v="15"/>
    <n v="201"/>
    <x v="200"/>
    <x v="93"/>
    <x v="200"/>
    <x v="199"/>
    <x v="1"/>
    <n v="248713"/>
  </r>
  <r>
    <x v="15"/>
    <n v="202"/>
    <x v="201"/>
    <x v="54"/>
    <x v="201"/>
    <x v="200"/>
    <x v="2"/>
    <n v="276557"/>
  </r>
  <r>
    <x v="16"/>
    <n v="203"/>
    <x v="202"/>
    <x v="20"/>
    <x v="202"/>
    <x v="201"/>
    <x v="6"/>
    <n v="272537"/>
  </r>
  <r>
    <x v="16"/>
    <n v="204"/>
    <x v="203"/>
    <x v="94"/>
    <x v="203"/>
    <x v="202"/>
    <x v="8"/>
    <n v="237194"/>
  </r>
  <r>
    <x v="16"/>
    <n v="205"/>
    <x v="204"/>
    <x v="58"/>
    <x v="204"/>
    <x v="203"/>
    <x v="0"/>
    <n v="278839"/>
  </r>
  <r>
    <x v="16"/>
    <n v="206"/>
    <x v="205"/>
    <x v="84"/>
    <x v="205"/>
    <x v="204"/>
    <x v="0"/>
    <n v="263968"/>
  </r>
  <r>
    <x v="16"/>
    <n v="207"/>
    <x v="206"/>
    <x v="7"/>
    <x v="206"/>
    <x v="205"/>
    <x v="0"/>
    <n v="263607"/>
  </r>
  <r>
    <x v="16"/>
    <n v="208"/>
    <x v="207"/>
    <x v="12"/>
    <x v="207"/>
    <x v="206"/>
    <x v="5"/>
    <n v="252033"/>
  </r>
  <r>
    <x v="16"/>
    <n v="209"/>
    <x v="208"/>
    <x v="47"/>
    <x v="208"/>
    <x v="207"/>
    <x v="16"/>
    <n v="251638"/>
  </r>
  <r>
    <x v="16"/>
    <n v="210"/>
    <x v="209"/>
    <x v="52"/>
    <x v="209"/>
    <x v="208"/>
    <x v="1"/>
    <n v="267608"/>
  </r>
  <r>
    <x v="16"/>
    <n v="211"/>
    <x v="210"/>
    <x v="3"/>
    <x v="210"/>
    <x v="209"/>
    <x v="3"/>
    <n v="255125"/>
  </r>
  <r>
    <x v="16"/>
    <n v="212"/>
    <x v="211"/>
    <x v="68"/>
    <x v="211"/>
    <x v="210"/>
    <x v="1"/>
    <n v="245461"/>
  </r>
  <r>
    <x v="16"/>
    <n v="213"/>
    <x v="212"/>
    <x v="56"/>
    <x v="212"/>
    <x v="211"/>
    <x v="3"/>
    <n v="262790"/>
  </r>
  <r>
    <x v="16"/>
    <n v="214"/>
    <x v="213"/>
    <x v="93"/>
    <x v="213"/>
    <x v="212"/>
    <x v="5"/>
    <n v="261544"/>
  </r>
  <r>
    <x v="16"/>
    <n v="215"/>
    <x v="214"/>
    <x v="95"/>
    <x v="214"/>
    <x v="213"/>
    <x v="3"/>
    <n v="245613"/>
  </r>
  <r>
    <x v="16"/>
    <n v="216"/>
    <x v="215"/>
    <x v="41"/>
    <x v="215"/>
    <x v="214"/>
    <x v="3"/>
    <n v="225535"/>
  </r>
  <r>
    <x v="16"/>
    <n v="217"/>
    <x v="216"/>
    <x v="15"/>
    <x v="216"/>
    <x v="215"/>
    <x v="2"/>
    <n v="267505"/>
  </r>
  <r>
    <x v="16"/>
    <n v="218"/>
    <x v="217"/>
    <x v="58"/>
    <x v="217"/>
    <x v="216"/>
    <x v="1"/>
    <n v="290415"/>
  </r>
  <r>
    <x v="17"/>
    <n v="219"/>
    <x v="218"/>
    <x v="18"/>
    <x v="218"/>
    <x v="217"/>
    <x v="3"/>
    <n v="236503"/>
  </r>
  <r>
    <x v="18"/>
    <n v="220"/>
    <x v="219"/>
    <x v="27"/>
    <x v="219"/>
    <x v="218"/>
    <x v="1"/>
    <n v="224634"/>
  </r>
  <r>
    <x v="18"/>
    <n v="221"/>
    <x v="220"/>
    <x v="70"/>
    <x v="220"/>
    <x v="219"/>
    <x v="3"/>
    <n v="225721"/>
  </r>
  <r>
    <x v="18"/>
    <n v="222"/>
    <x v="221"/>
    <x v="14"/>
    <x v="221"/>
    <x v="220"/>
    <x v="0"/>
    <n v="232680"/>
  </r>
  <r>
    <x v="17"/>
    <n v="223"/>
    <x v="222"/>
    <x v="10"/>
    <x v="222"/>
    <x v="221"/>
    <x v="3"/>
    <n v="239567"/>
  </r>
  <r>
    <x v="17"/>
    <n v="224"/>
    <x v="223"/>
    <x v="46"/>
    <x v="223"/>
    <x v="222"/>
    <x v="13"/>
    <n v="195947"/>
  </r>
  <r>
    <x v="17"/>
    <n v="225"/>
    <x v="224"/>
    <x v="46"/>
    <x v="224"/>
    <x v="223"/>
    <x v="3"/>
    <n v="242015"/>
  </r>
  <r>
    <x v="17"/>
    <n v="226"/>
    <x v="225"/>
    <x v="96"/>
    <x v="225"/>
    <x v="224"/>
    <x v="1"/>
    <n v="272375"/>
  </r>
  <r>
    <x v="17"/>
    <n v="227"/>
    <x v="226"/>
    <x v="15"/>
    <x v="226"/>
    <x v="225"/>
    <x v="1"/>
    <n v="255915"/>
  </r>
  <r>
    <x v="17"/>
    <n v="228"/>
    <x v="227"/>
    <x v="42"/>
    <x v="227"/>
    <x v="226"/>
    <x v="0"/>
    <n v="224699"/>
  </r>
  <r>
    <x v="17"/>
    <n v="229"/>
    <x v="228"/>
    <x v="55"/>
    <x v="228"/>
    <x v="227"/>
    <x v="7"/>
    <n v="231861"/>
  </r>
  <r>
    <x v="17"/>
    <n v="230"/>
    <x v="229"/>
    <x v="97"/>
    <x v="229"/>
    <x v="228"/>
    <x v="3"/>
    <n v="298208"/>
  </r>
  <r>
    <x v="17"/>
    <n v="231"/>
    <x v="230"/>
    <x v="98"/>
    <x v="230"/>
    <x v="229"/>
    <x v="5"/>
    <n v="280113"/>
  </r>
  <r>
    <x v="17"/>
    <n v="232"/>
    <x v="231"/>
    <x v="99"/>
    <x v="231"/>
    <x v="230"/>
    <x v="3"/>
    <n v="283993"/>
  </r>
  <r>
    <x v="17"/>
    <n v="233"/>
    <x v="232"/>
    <x v="27"/>
    <x v="232"/>
    <x v="231"/>
    <x v="1"/>
    <n v="235719"/>
  </r>
  <r>
    <x v="17"/>
    <n v="234"/>
    <x v="233"/>
    <x v="17"/>
    <x v="233"/>
    <x v="232"/>
    <x v="5"/>
    <n v="279139"/>
  </r>
  <r>
    <x v="17"/>
    <n v="235"/>
    <x v="234"/>
    <x v="28"/>
    <x v="234"/>
    <x v="233"/>
    <x v="3"/>
    <n v="267576"/>
  </r>
  <r>
    <x v="17"/>
    <n v="236"/>
    <x v="235"/>
    <x v="73"/>
    <x v="235"/>
    <x v="234"/>
    <x v="1"/>
    <n v="268926"/>
  </r>
  <r>
    <x v="18"/>
    <n v="237"/>
    <x v="236"/>
    <x v="43"/>
    <x v="236"/>
    <x v="235"/>
    <x v="5"/>
    <n v="218979"/>
  </r>
  <r>
    <x v="19"/>
    <n v="238"/>
    <x v="237"/>
    <x v="100"/>
    <x v="237"/>
    <x v="236"/>
    <x v="3"/>
    <n v="284123"/>
  </r>
  <r>
    <x v="19"/>
    <n v="239"/>
    <x v="238"/>
    <x v="95"/>
    <x v="238"/>
    <x v="237"/>
    <x v="0"/>
    <n v="234185"/>
  </r>
  <r>
    <x v="19"/>
    <n v="240"/>
    <x v="239"/>
    <x v="7"/>
    <x v="239"/>
    <x v="238"/>
    <x v="2"/>
    <n v="248881"/>
  </r>
  <r>
    <x v="19"/>
    <n v="241"/>
    <x v="240"/>
    <x v="36"/>
    <x v="240"/>
    <x v="239"/>
    <x v="5"/>
    <n v="252416"/>
  </r>
  <r>
    <x v="19"/>
    <n v="242"/>
    <x v="241"/>
    <x v="7"/>
    <x v="241"/>
    <x v="240"/>
    <x v="0"/>
    <n v="249770"/>
  </r>
  <r>
    <x v="19"/>
    <n v="243"/>
    <x v="242"/>
    <x v="56"/>
    <x v="242"/>
    <x v="241"/>
    <x v="1"/>
    <n v="252203"/>
  </r>
  <r>
    <x v="19"/>
    <n v="244"/>
    <x v="243"/>
    <x v="10"/>
    <x v="243"/>
    <x v="242"/>
    <x v="3"/>
    <n v="228140"/>
  </r>
  <r>
    <x v="19"/>
    <n v="245"/>
    <x v="244"/>
    <x v="27"/>
    <x v="244"/>
    <x v="243"/>
    <x v="3"/>
    <n v="234904"/>
  </r>
  <r>
    <x v="19"/>
    <n v="246"/>
    <x v="245"/>
    <x v="93"/>
    <x v="245"/>
    <x v="244"/>
    <x v="1"/>
    <n v="253404"/>
  </r>
  <r>
    <x v="20"/>
    <n v="247"/>
    <x v="246"/>
    <x v="79"/>
    <x v="246"/>
    <x v="245"/>
    <x v="3"/>
    <n v="232197"/>
  </r>
  <r>
    <x v="20"/>
    <n v="248"/>
    <x v="247"/>
    <x v="7"/>
    <x v="247"/>
    <x v="246"/>
    <x v="3"/>
    <n v="240454"/>
  </r>
  <r>
    <x v="20"/>
    <n v="249"/>
    <x v="248"/>
    <x v="80"/>
    <x v="248"/>
    <x v="247"/>
    <x v="3"/>
    <n v="253141"/>
  </r>
  <r>
    <x v="20"/>
    <n v="250"/>
    <x v="249"/>
    <x v="3"/>
    <x v="249"/>
    <x v="248"/>
    <x v="3"/>
    <n v="222053"/>
  </r>
  <r>
    <x v="20"/>
    <n v="251"/>
    <x v="250"/>
    <x v="40"/>
    <x v="250"/>
    <x v="249"/>
    <x v="3"/>
    <n v="234607"/>
  </r>
  <r>
    <x v="20"/>
    <n v="252"/>
    <x v="251"/>
    <x v="4"/>
    <x v="251"/>
    <x v="250"/>
    <x v="3"/>
    <n v="258991"/>
  </r>
  <r>
    <x v="20"/>
    <n v="253"/>
    <x v="252"/>
    <x v="57"/>
    <x v="252"/>
    <x v="251"/>
    <x v="1"/>
    <n v="250353"/>
  </r>
  <r>
    <x v="20"/>
    <n v="254"/>
    <x v="253"/>
    <x v="101"/>
    <x v="253"/>
    <x v="252"/>
    <x v="3"/>
    <n v="260725"/>
  </r>
  <r>
    <x v="20"/>
    <n v="255"/>
    <x v="145"/>
    <x v="87"/>
    <x v="254"/>
    <x v="253"/>
    <x v="3"/>
    <n v="218759"/>
  </r>
  <r>
    <x v="20"/>
    <n v="256"/>
    <x v="254"/>
    <x v="50"/>
    <x v="255"/>
    <x v="254"/>
    <x v="1"/>
    <n v="251456"/>
  </r>
  <r>
    <x v="20"/>
    <n v="257"/>
    <x v="255"/>
    <x v="71"/>
    <x v="256"/>
    <x v="42"/>
    <x v="3"/>
    <n v="243519"/>
  </r>
  <r>
    <x v="20"/>
    <n v="258"/>
    <x v="256"/>
    <x v="71"/>
    <x v="257"/>
    <x v="255"/>
    <x v="3"/>
    <n v="234754"/>
  </r>
  <r>
    <x v="21"/>
    <n v="259"/>
    <x v="257"/>
    <x v="18"/>
    <x v="258"/>
    <x v="256"/>
    <x v="3"/>
    <n v="243759"/>
  </r>
  <r>
    <x v="21"/>
    <n v="260"/>
    <x v="258"/>
    <x v="102"/>
    <x v="259"/>
    <x v="257"/>
    <x v="2"/>
    <n v="235996"/>
  </r>
  <r>
    <x v="21"/>
    <n v="261"/>
    <x v="259"/>
    <x v="70"/>
    <x v="260"/>
    <x v="258"/>
    <x v="0"/>
    <n v="254774"/>
  </r>
  <r>
    <x v="21"/>
    <n v="262"/>
    <x v="260"/>
    <x v="3"/>
    <x v="261"/>
    <x v="259"/>
    <x v="7"/>
    <n v="231587"/>
  </r>
  <r>
    <x v="21"/>
    <n v="263"/>
    <x v="261"/>
    <x v="93"/>
    <x v="262"/>
    <x v="260"/>
    <x v="7"/>
    <n v="240676"/>
  </r>
  <r>
    <x v="21"/>
    <n v="264"/>
    <x v="262"/>
    <x v="79"/>
    <x v="263"/>
    <x v="261"/>
    <x v="8"/>
    <n v="235334"/>
  </r>
  <r>
    <x v="21"/>
    <n v="265"/>
    <x v="263"/>
    <x v="43"/>
    <x v="264"/>
    <x v="262"/>
    <x v="15"/>
    <n v="245431"/>
  </r>
  <r>
    <x v="21"/>
    <n v="266"/>
    <x v="264"/>
    <x v="9"/>
    <x v="265"/>
    <x v="263"/>
    <x v="5"/>
    <n v="269624"/>
  </r>
  <r>
    <x v="21"/>
    <n v="267"/>
    <x v="265"/>
    <x v="40"/>
    <x v="266"/>
    <x v="264"/>
    <x v="3"/>
    <n v="243663"/>
  </r>
  <r>
    <x v="21"/>
    <n v="268"/>
    <x v="266"/>
    <x v="27"/>
    <x v="267"/>
    <x v="265"/>
    <x v="1"/>
    <n v="243482"/>
  </r>
  <r>
    <x v="21"/>
    <n v="269"/>
    <x v="267"/>
    <x v="11"/>
    <x v="268"/>
    <x v="266"/>
    <x v="6"/>
    <n v="251499"/>
  </r>
  <r>
    <x v="21"/>
    <n v="270"/>
    <x v="268"/>
    <x v="92"/>
    <x v="269"/>
    <x v="267"/>
    <x v="5"/>
    <n v="265672"/>
  </r>
  <r>
    <x v="21"/>
    <n v="271"/>
    <x v="269"/>
    <x v="57"/>
    <x v="270"/>
    <x v="268"/>
    <x v="1"/>
    <n v="261743"/>
  </r>
  <r>
    <x v="21"/>
    <n v="272"/>
    <x v="270"/>
    <x v="15"/>
    <x v="271"/>
    <x v="269"/>
    <x v="1"/>
    <n v="251597"/>
  </r>
  <r>
    <x v="21"/>
    <n v="273"/>
    <x v="271"/>
    <x v="18"/>
    <x v="272"/>
    <x v="270"/>
    <x v="0"/>
    <n v="242986"/>
  </r>
  <r>
    <x v="21"/>
    <n v="274"/>
    <x v="272"/>
    <x v="57"/>
    <x v="273"/>
    <x v="271"/>
    <x v="0"/>
    <n v="252797"/>
  </r>
  <r>
    <x v="22"/>
    <n v="275"/>
    <x v="273"/>
    <x v="0"/>
    <x v="274"/>
    <x v="272"/>
    <x v="1"/>
    <n v="193260"/>
  </r>
  <r>
    <x v="22"/>
    <n v="276"/>
    <x v="274"/>
    <x v="80"/>
    <x v="275"/>
    <x v="273"/>
    <x v="1"/>
    <n v="239025"/>
  </r>
  <r>
    <x v="22"/>
    <n v="277"/>
    <x v="275"/>
    <x v="96"/>
    <x v="276"/>
    <x v="274"/>
    <x v="7"/>
    <n v="245585"/>
  </r>
  <r>
    <x v="22"/>
    <n v="278"/>
    <x v="276"/>
    <x v="52"/>
    <x v="277"/>
    <x v="275"/>
    <x v="2"/>
    <n v="222754"/>
  </r>
  <r>
    <x v="22"/>
    <n v="279"/>
    <x v="277"/>
    <x v="68"/>
    <x v="278"/>
    <x v="276"/>
    <x v="0"/>
    <n v="200502"/>
  </r>
  <r>
    <x v="22"/>
    <n v="280"/>
    <x v="278"/>
    <x v="9"/>
    <x v="279"/>
    <x v="277"/>
    <x v="7"/>
    <n v="247422"/>
  </r>
  <r>
    <x v="22"/>
    <n v="281"/>
    <x v="279"/>
    <x v="2"/>
    <x v="280"/>
    <x v="278"/>
    <x v="0"/>
    <n v="247028"/>
  </r>
  <r>
    <x v="22"/>
    <n v="282"/>
    <x v="280"/>
    <x v="46"/>
    <x v="281"/>
    <x v="279"/>
    <x v="7"/>
    <n v="221634"/>
  </r>
  <r>
    <x v="22"/>
    <n v="283"/>
    <x v="281"/>
    <x v="95"/>
    <x v="282"/>
    <x v="280"/>
    <x v="0"/>
    <n v="203756"/>
  </r>
  <r>
    <x v="23"/>
    <n v="284"/>
    <x v="282"/>
    <x v="10"/>
    <x v="283"/>
    <x v="281"/>
    <x v="1"/>
    <n v="237322"/>
  </r>
  <r>
    <x v="23"/>
    <n v="285"/>
    <x v="283"/>
    <x v="51"/>
    <x v="284"/>
    <x v="282"/>
    <x v="3"/>
    <n v="257521"/>
  </r>
  <r>
    <x v="23"/>
    <n v="286"/>
    <x v="284"/>
    <x v="22"/>
    <x v="285"/>
    <x v="283"/>
    <x v="15"/>
    <n v="268700"/>
  </r>
  <r>
    <x v="23"/>
    <n v="287"/>
    <x v="285"/>
    <x v="86"/>
    <x v="286"/>
    <x v="284"/>
    <x v="2"/>
    <n v="272821"/>
  </r>
  <r>
    <x v="23"/>
    <n v="288"/>
    <x v="286"/>
    <x v="8"/>
    <x v="287"/>
    <x v="285"/>
    <x v="5"/>
    <n v="235885"/>
  </r>
  <r>
    <x v="23"/>
    <n v="289"/>
    <x v="287"/>
    <x v="52"/>
    <x v="288"/>
    <x v="286"/>
    <x v="3"/>
    <n v="251198"/>
  </r>
  <r>
    <x v="23"/>
    <n v="290"/>
    <x v="288"/>
    <x v="40"/>
    <x v="289"/>
    <x v="287"/>
    <x v="2"/>
    <n v="229993"/>
  </r>
  <r>
    <x v="23"/>
    <n v="291"/>
    <x v="289"/>
    <x v="61"/>
    <x v="290"/>
    <x v="288"/>
    <x v="1"/>
    <n v="252934"/>
  </r>
  <r>
    <x v="23"/>
    <n v="292"/>
    <x v="290"/>
    <x v="14"/>
    <x v="291"/>
    <x v="289"/>
    <x v="8"/>
    <n v="250315"/>
  </r>
  <r>
    <x v="23"/>
    <n v="293"/>
    <x v="291"/>
    <x v="3"/>
    <x v="292"/>
    <x v="42"/>
    <x v="15"/>
    <n v="243367"/>
  </r>
  <r>
    <x v="23"/>
    <n v="294"/>
    <x v="292"/>
    <x v="101"/>
    <x v="293"/>
    <x v="290"/>
    <x v="1"/>
    <n v="26636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s v="COOCHBEHAR"/>
    <n v="1"/>
    <s v="Mekliganj"/>
    <n v="239"/>
    <n v="119553"/>
    <n v="112317"/>
    <n v="3"/>
    <n v="231873"/>
  </r>
  <r>
    <s v="COOCHBEHAR"/>
    <n v="2"/>
    <s v="Mathabhanga"/>
    <n v="276"/>
    <n v="134478"/>
    <n v="123989"/>
    <n v="1"/>
    <n v="258468"/>
  </r>
  <r>
    <s v="COOCHBEHAR"/>
    <n v="3"/>
    <s v="COOCHBEHAR UTTAR"/>
    <n v="307"/>
    <n v="146356"/>
    <n v="135240"/>
    <n v="1"/>
    <n v="281597"/>
  </r>
  <r>
    <s v="COOCHBEHAR"/>
    <n v="4"/>
    <s v="Cooch Behar Dakshin"/>
    <n v="258"/>
    <n v="119979"/>
    <n v="112721"/>
    <n v="4"/>
    <n v="232704"/>
  </r>
  <r>
    <s v="COOCHBEHAR"/>
    <n v="5"/>
    <s v="Sitalkuchi"/>
    <n v="310"/>
    <n v="157007"/>
    <n v="141699"/>
    <n v="3"/>
    <n v="298709"/>
  </r>
  <r>
    <s v="COOCHBEHAR"/>
    <n v="6"/>
    <s v="Sitai"/>
    <n v="300"/>
    <n v="152548"/>
    <n v="138873"/>
    <n v="0"/>
    <n v="291421"/>
  </r>
  <r>
    <s v="COOCHBEHAR"/>
    <n v="7"/>
    <s v="Dinhata"/>
    <n v="318"/>
    <n v="150678"/>
    <n v="141700"/>
    <n v="0"/>
    <n v="292378"/>
  </r>
  <r>
    <s v="COOCHBEHAR"/>
    <n v="8"/>
    <s v="Natabari"/>
    <n v="274"/>
    <n v="127611"/>
    <n v="121230"/>
    <n v="9"/>
    <n v="248850"/>
  </r>
  <r>
    <s v="COOCHBEHAR"/>
    <n v="9"/>
    <s v="Tufanganj"/>
    <n v="255"/>
    <n v="123940"/>
    <n v="117478"/>
    <n v="1"/>
    <n v="241419"/>
  </r>
  <r>
    <s v="ALIPURDUAR"/>
    <n v="10"/>
    <s v="Kumargram"/>
    <n v="302"/>
    <n v="138874"/>
    <n v="130343"/>
    <n v="2"/>
    <n v="269219"/>
  </r>
  <r>
    <s v="ALIPURDUAR"/>
    <n v="11"/>
    <s v="Kalchini"/>
    <n v="275"/>
    <n v="115772"/>
    <n v="118486"/>
    <n v="2"/>
    <n v="234260"/>
  </r>
  <r>
    <s v="ALIPURDUAR"/>
    <n v="12"/>
    <s v="Alipurduars"/>
    <n v="278"/>
    <n v="127036"/>
    <n v="122803"/>
    <n v="7"/>
    <n v="249846"/>
  </r>
  <r>
    <s v="ALIPURDUAR"/>
    <n v="13"/>
    <s v="Falakata"/>
    <n v="269"/>
    <n v="129018"/>
    <n v="121940"/>
    <n v="5"/>
    <n v="250963"/>
  </r>
  <r>
    <s v="ALIPURDUAR"/>
    <n v="14"/>
    <s v="Madarihat"/>
    <n v="226"/>
    <n v="98918"/>
    <n v="100990"/>
    <n v="4"/>
    <n v="199912"/>
  </r>
  <r>
    <s v="JALPAIGURI"/>
    <n v="15"/>
    <s v="Dhupguri"/>
    <n v="263"/>
    <n v="134272"/>
    <n v="126572"/>
    <n v="9"/>
    <n v="260853"/>
  </r>
  <r>
    <s v="JALPAIGURI"/>
    <n v="16"/>
    <s v="Maynaguri"/>
    <n v="276"/>
    <n v="137872"/>
    <n v="128457"/>
    <n v="0"/>
    <n v="266329"/>
  </r>
  <r>
    <s v="JALPAIGURI"/>
    <n v="17"/>
    <s v="Jalpaiguri"/>
    <n v="283"/>
    <n v="128990"/>
    <n v="126622"/>
    <n v="4"/>
    <n v="255616"/>
  </r>
  <r>
    <s v="JALPAIGURI"/>
    <n v="18"/>
    <s v="Rajganj"/>
    <n v="261"/>
    <n v="124511"/>
    <n v="117048"/>
    <n v="1"/>
    <n v="241560"/>
  </r>
  <r>
    <s v="JALPAIGURI"/>
    <n v="19"/>
    <s v="Dabgram-Fulbari"/>
    <n v="314"/>
    <n v="144803"/>
    <n v="142221"/>
    <n v="6"/>
    <n v="287030"/>
  </r>
  <r>
    <s v="JALPAIGURI"/>
    <n v="20"/>
    <s v="Mal"/>
    <n v="271"/>
    <n v="122869"/>
    <n v="122336"/>
    <n v="0"/>
    <n v="245205"/>
  </r>
  <r>
    <s v="JALPAIGURI"/>
    <n v="21"/>
    <s v="Nagrakata"/>
    <n v="260"/>
    <n v="109823"/>
    <n v="114497"/>
    <n v="2"/>
    <n v="224322"/>
  </r>
  <r>
    <s v="Kalimpong"/>
    <n v="22"/>
    <s v="Kalimpong"/>
    <n v="293"/>
    <n v="101506"/>
    <n v="102025"/>
    <n v="0"/>
    <n v="203531"/>
  </r>
  <r>
    <s v="DARJEELING"/>
    <n v="23"/>
    <s v="Darjeeling"/>
    <n v="335"/>
    <n v="108630"/>
    <n v="110710"/>
    <n v="2"/>
    <n v="219342"/>
  </r>
  <r>
    <s v="DARJEELING"/>
    <n v="24"/>
    <s v="Kurseong"/>
    <n v="296"/>
    <n v="109182"/>
    <n v="113525"/>
    <n v="3"/>
    <n v="222710"/>
  </r>
  <r>
    <s v="DARJEELING"/>
    <n v="25"/>
    <s v="Matigara-Naxalbari"/>
    <n v="328"/>
    <n v="141961"/>
    <n v="143209"/>
    <n v="4"/>
    <n v="285174"/>
  </r>
  <r>
    <s v="DARJEELING"/>
    <n v="26"/>
    <s v="Siliguri"/>
    <n v="245"/>
    <n v="103916"/>
    <n v="104709"/>
    <n v="18"/>
    <n v="208643"/>
  </r>
  <r>
    <s v="DARJEELING"/>
    <n v="27"/>
    <s v="Phansidewa"/>
    <n v="261"/>
    <n v="119291"/>
    <n v="115480"/>
    <n v="3"/>
    <n v="234774"/>
  </r>
  <r>
    <s v="UTTAR DINAJPUR"/>
    <n v="28"/>
    <s v="Chopra"/>
    <n v="261"/>
    <n v="133295"/>
    <n v="114756"/>
    <n v="5"/>
    <n v="248056"/>
  </r>
  <r>
    <s v="UTTAR DINAJPUR"/>
    <n v="29"/>
    <s v="Islampur"/>
    <n v="238"/>
    <n v="115701"/>
    <n v="101947"/>
    <n v="9"/>
    <n v="217657"/>
  </r>
  <r>
    <s v="UTTAR DINAJPUR"/>
    <n v="30"/>
    <s v="Goalpokhar"/>
    <n v="236"/>
    <n v="122516"/>
    <n v="108331"/>
    <n v="5"/>
    <n v="230852"/>
  </r>
  <r>
    <s v="UTTAR DINAJPUR"/>
    <n v="31"/>
    <s v="Chakulia"/>
    <n v="239"/>
    <n v="121812"/>
    <n v="107130"/>
    <n v="3"/>
    <n v="228945"/>
  </r>
  <r>
    <s v="UTTAR DINAJPUR"/>
    <n v="32"/>
    <s v="Karandighi"/>
    <n v="276"/>
    <n v="137883"/>
    <n v="122073"/>
    <n v="6"/>
    <n v="259962"/>
  </r>
  <r>
    <s v="UTTAR DINAJPUR"/>
    <n v="33"/>
    <s v="Hemtabad"/>
    <n v="266"/>
    <n v="140636"/>
    <n v="124521"/>
    <n v="5"/>
    <n v="265162"/>
  </r>
  <r>
    <s v="UTTAR DINAJPUR"/>
    <n v="34"/>
    <s v="Kaliaganj"/>
    <n v="282"/>
    <n v="145949"/>
    <n v="133403"/>
    <n v="13"/>
    <n v="279365"/>
  </r>
  <r>
    <s v="UTTAR DINAJPUR"/>
    <n v="35"/>
    <s v="Raiganj"/>
    <n v="213"/>
    <n v="96583"/>
    <n v="92827"/>
    <n v="17"/>
    <n v="189427"/>
  </r>
  <r>
    <s v="UTTAR DINAJPUR"/>
    <n v="36"/>
    <s v="Itahar"/>
    <n v="238"/>
    <n v="119629"/>
    <n v="110271"/>
    <n v="7"/>
    <n v="229907"/>
  </r>
  <r>
    <s v="DAKSHIN DINAJPUR"/>
    <n v="37"/>
    <s v="Kushmandi"/>
    <n v="229"/>
    <n v="115687"/>
    <n v="104539"/>
    <n v="4"/>
    <n v="220230"/>
  </r>
  <r>
    <s v="DAKSHIN DINAJPUR"/>
    <n v="38"/>
    <s v="Kumarganj"/>
    <n v="211"/>
    <n v="104707"/>
    <n v="97537"/>
    <n v="4"/>
    <n v="202248"/>
  </r>
  <r>
    <s v="DAKSHIN DINAJPUR"/>
    <n v="39"/>
    <s v="Balurghat"/>
    <n v="200"/>
    <n v="87787"/>
    <n v="86259"/>
    <n v="14"/>
    <n v="174060"/>
  </r>
  <r>
    <s v="DAKSHIN DINAJPUR"/>
    <n v="40"/>
    <s v="Tapan"/>
    <n v="234"/>
    <n v="108550"/>
    <n v="103262"/>
    <n v="3"/>
    <n v="211815"/>
  </r>
  <r>
    <s v="DAKSHIN DINAJPUR"/>
    <n v="41"/>
    <s v="Gangarampur"/>
    <n v="239"/>
    <n v="111773"/>
    <n v="104630"/>
    <n v="11"/>
    <n v="216414"/>
  </r>
  <r>
    <s v="DAKSHIN DINAJPUR"/>
    <n v="42"/>
    <s v="Harirampur"/>
    <n v="230"/>
    <n v="115783"/>
    <n v="110003"/>
    <n v="11"/>
    <n v="225797"/>
  </r>
  <r>
    <s v="MALDA"/>
    <n v="43"/>
    <s v="Habibpur"/>
    <n v="252"/>
    <n v="123458"/>
    <n v="119489"/>
    <n v="5"/>
    <n v="242952"/>
  </r>
  <r>
    <s v="MALDA"/>
    <n v="44"/>
    <s v="Gazole"/>
    <n v="273"/>
    <n v="135506"/>
    <n v="130716"/>
    <n v="4"/>
    <n v="266226"/>
  </r>
  <r>
    <s v="MALDA"/>
    <n v="45"/>
    <s v="Chanchal"/>
    <n v="248"/>
    <n v="127066"/>
    <n v="118463"/>
    <n v="5"/>
    <n v="245534"/>
  </r>
  <r>
    <s v="MALDA"/>
    <n v="46"/>
    <s v="Harischandrapur"/>
    <n v="260"/>
    <n v="134611"/>
    <n v="121312"/>
    <n v="3"/>
    <n v="255926"/>
  </r>
  <r>
    <s v="MALDA"/>
    <n v="47"/>
    <s v="Malatipur"/>
    <n v="245"/>
    <n v="122275"/>
    <n v="114253"/>
    <n v="14"/>
    <n v="236542"/>
  </r>
  <r>
    <s v="MALDA"/>
    <n v="48"/>
    <s v="Ratua"/>
    <n v="296"/>
    <n v="146394"/>
    <n v="131824"/>
    <n v="9"/>
    <n v="278227"/>
  </r>
  <r>
    <s v="MALDA"/>
    <n v="49"/>
    <s v="Manikchak"/>
    <n v="261"/>
    <n v="133861"/>
    <n v="121108"/>
    <n v="2"/>
    <n v="254971"/>
  </r>
  <r>
    <s v="MALDA"/>
    <n v="50"/>
    <s v="Maldaha"/>
    <n v="248"/>
    <n v="122979"/>
    <n v="119904"/>
    <n v="5"/>
    <n v="242888"/>
  </r>
  <r>
    <s v="MALDA"/>
    <n v="51"/>
    <s v="Englishbazar"/>
    <n v="292"/>
    <n v="132381"/>
    <n v="132781"/>
    <n v="9"/>
    <n v="265171"/>
  </r>
  <r>
    <s v="MALDA"/>
    <n v="52"/>
    <s v="Mothabari"/>
    <n v="205"/>
    <n v="104061"/>
    <n v="98534"/>
    <n v="9"/>
    <n v="202604"/>
  </r>
  <r>
    <s v="MALDA"/>
    <n v="53"/>
    <s v="Sujapur"/>
    <n v="264"/>
    <n v="131156"/>
    <n v="125113"/>
    <n v="7"/>
    <n v="256276"/>
  </r>
  <r>
    <s v="MALDA"/>
    <n v="54"/>
    <s v="Baisnabnagar"/>
    <n v="262"/>
    <n v="130159"/>
    <n v="120174"/>
    <n v="10"/>
    <n v="250343"/>
  </r>
  <r>
    <s v="MURSHIDABAD"/>
    <n v="55"/>
    <s v="Farakka"/>
    <n v="236"/>
    <n v="114053"/>
    <n v="108803"/>
    <n v="5"/>
    <n v="222861"/>
  </r>
  <r>
    <s v="MURSHIDABAD"/>
    <n v="56"/>
    <s v="Samserganj"/>
    <n v="247"/>
    <n v="118427"/>
    <n v="117610"/>
    <n v="3"/>
    <n v="236040"/>
  </r>
  <r>
    <s v="MURSHIDABAD"/>
    <n v="57"/>
    <s v="Suti"/>
    <n v="285"/>
    <n v="136567"/>
    <n v="130143"/>
    <n v="2"/>
    <n v="266712"/>
  </r>
  <r>
    <s v="MURSHIDABAD"/>
    <n v="58"/>
    <s v="Jangipur"/>
    <n v="275"/>
    <n v="131763"/>
    <n v="124497"/>
    <n v="4"/>
    <n v="256264"/>
  </r>
  <r>
    <s v="MURSHIDABAD"/>
    <n v="59"/>
    <s v="RaghunathGanj"/>
    <n v="269"/>
    <n v="130216"/>
    <n v="120646"/>
    <n v="0"/>
    <n v="250862"/>
  </r>
  <r>
    <s v="MURSHIDABAD"/>
    <n v="60"/>
    <s v="Sagardighi"/>
    <n v="250"/>
    <n v="122440"/>
    <n v="113991"/>
    <n v="4"/>
    <n v="236435"/>
  </r>
  <r>
    <s v="MURSHIDABAD"/>
    <n v="61"/>
    <s v="Lalgola"/>
    <n v="256"/>
    <n v="124323"/>
    <n v="115464"/>
    <n v="3"/>
    <n v="239790"/>
  </r>
  <r>
    <s v="MURSHIDABAD"/>
    <n v="62"/>
    <s v="Bhagabangola"/>
    <n v="283"/>
    <n v="141077"/>
    <n v="130837"/>
    <n v="1"/>
    <n v="271915"/>
  </r>
  <r>
    <s v="MURSHIDABAD"/>
    <n v="63"/>
    <s v="Raninagar"/>
    <n v="270"/>
    <n v="134724"/>
    <n v="126391"/>
    <n v="6"/>
    <n v="261121"/>
  </r>
  <r>
    <s v="MURSHIDABAD"/>
    <n v="64"/>
    <s v="Murshidabad"/>
    <n v="282"/>
    <n v="135880"/>
    <n v="131344"/>
    <n v="1"/>
    <n v="267225"/>
  </r>
  <r>
    <s v="MURSHIDABAD"/>
    <n v="65"/>
    <s v="Nabagram"/>
    <n v="272"/>
    <n v="130794"/>
    <n v="124895"/>
    <n v="4"/>
    <n v="255693"/>
  </r>
  <r>
    <s v="MURSHIDABAD"/>
    <n v="66"/>
    <s v="Khargram"/>
    <n v="244"/>
    <n v="121423"/>
    <n v="112810"/>
    <n v="3"/>
    <n v="234236"/>
  </r>
  <r>
    <s v="MURSHIDABAD"/>
    <n v="67"/>
    <s v="Burwan"/>
    <n v="233"/>
    <n v="112180"/>
    <n v="103713"/>
    <n v="5"/>
    <n v="215898"/>
  </r>
  <r>
    <s v="MURSHIDABAD"/>
    <n v="68"/>
    <s v="Kandi"/>
    <n v="255"/>
    <n v="123356"/>
    <n v="116566"/>
    <n v="3"/>
    <n v="239925"/>
  </r>
  <r>
    <s v="MURSHIDABAD"/>
    <n v="69"/>
    <s v="Bharatpur"/>
    <n v="262"/>
    <n v="124847"/>
    <n v="114606"/>
    <n v="4"/>
    <n v="239457"/>
  </r>
  <r>
    <s v="MURSHIDABAD"/>
    <n v="70"/>
    <s v="Rejinagar"/>
    <n v="282"/>
    <n v="134986"/>
    <n v="124012"/>
    <n v="6"/>
    <n v="259004"/>
  </r>
  <r>
    <s v="MURSHIDABAD"/>
    <n v="71"/>
    <s v="Beldanga"/>
    <n v="281"/>
    <n v="130736"/>
    <n v="121267"/>
    <n v="4"/>
    <n v="252007"/>
  </r>
  <r>
    <s v="MURSHIDABAD"/>
    <n v="72"/>
    <s v="Baharampur"/>
    <n v="298"/>
    <n v="122403"/>
    <n v="125774"/>
    <n v="11"/>
    <n v="248188"/>
  </r>
  <r>
    <s v="MURSHIDABAD"/>
    <n v="73"/>
    <s v="Hariharpara"/>
    <n v="276"/>
    <n v="128669"/>
    <n v="121862"/>
    <n v="8"/>
    <n v="250539"/>
  </r>
  <r>
    <s v="MURSHIDABAD"/>
    <n v="74"/>
    <s v="Naoda"/>
    <n v="269"/>
    <n v="127714"/>
    <n v="118837"/>
    <n v="2"/>
    <n v="246553"/>
  </r>
  <r>
    <s v="MURSHIDABAD"/>
    <n v="75"/>
    <s v="Domkal"/>
    <n v="286"/>
    <n v="138540"/>
    <n v="130600"/>
    <n v="3"/>
    <n v="269143"/>
  </r>
  <r>
    <s v="MURSHIDABAD"/>
    <n v="76"/>
    <s v="Jalangi"/>
    <n v="284"/>
    <n v="137448"/>
    <n v="127930"/>
    <n v="2"/>
    <n v="265380"/>
  </r>
  <r>
    <s v="NADIA"/>
    <n v="77"/>
    <s v="Karimpur"/>
    <n v="262"/>
    <n v="131295"/>
    <n v="123722"/>
    <n v="3"/>
    <n v="255020"/>
  </r>
  <r>
    <s v="NADIA"/>
    <n v="78"/>
    <s v="Tehatta"/>
    <n v="274"/>
    <n v="132196"/>
    <n v="122517"/>
    <n v="4"/>
    <n v="254717"/>
  </r>
  <r>
    <s v="NADIA"/>
    <n v="79"/>
    <s v="Palashipara"/>
    <n v="256"/>
    <n v="127813"/>
    <n v="115639"/>
    <n v="4"/>
    <n v="243456"/>
  </r>
  <r>
    <s v="NADIA"/>
    <n v="80"/>
    <s v="Kaliganj"/>
    <n v="309"/>
    <n v="126852"/>
    <n v="116024"/>
    <n v="3"/>
    <n v="242879"/>
  </r>
  <r>
    <s v="NADIA"/>
    <n v="81"/>
    <s v="Nakashipara"/>
    <n v="262"/>
    <n v="127824"/>
    <n v="115392"/>
    <n v="4"/>
    <n v="243220"/>
  </r>
  <r>
    <s v="NADIA"/>
    <n v="82"/>
    <s v="Chapra"/>
    <n v="285"/>
    <n v="130634"/>
    <n v="116744"/>
    <n v="0"/>
    <n v="247378"/>
  </r>
  <r>
    <s v="NADIA"/>
    <n v="83"/>
    <s v="Krishnanagar Uttar"/>
    <n v="273"/>
    <n v="116752"/>
    <n v="113990"/>
    <n v="5"/>
    <n v="230747"/>
  </r>
  <r>
    <s v="NADIA"/>
    <n v="84"/>
    <s v="Nabadwip"/>
    <n v="276"/>
    <n v="121141"/>
    <n v="115220"/>
    <n v="3"/>
    <n v="236364"/>
  </r>
  <r>
    <s v="NADIA"/>
    <n v="85"/>
    <s v="Krishnanagar Dakshin"/>
    <n v="238"/>
    <n v="115910"/>
    <n v="106566"/>
    <n v="1"/>
    <n v="222477"/>
  </r>
  <r>
    <s v="NADIA"/>
    <n v="86"/>
    <s v="Santipur"/>
    <n v="265"/>
    <n v="127560"/>
    <n v="118022"/>
    <n v="9"/>
    <n v="245591"/>
  </r>
  <r>
    <s v="NADIA"/>
    <n v="87"/>
    <s v="Ranaghat Uttar Paschim"/>
    <n v="290"/>
    <n v="128216"/>
    <n v="123481"/>
    <n v="13"/>
    <n v="251710"/>
  </r>
  <r>
    <s v="NADIA"/>
    <n v="88"/>
    <s v="Krishnaganj"/>
    <n v="297"/>
    <n v="140291"/>
    <n v="128638"/>
    <n v="3"/>
    <n v="268932"/>
  </r>
  <r>
    <s v="NADIA"/>
    <n v="89"/>
    <s v="Ranaghat Uttar Purba"/>
    <n v="282"/>
    <n v="136162"/>
    <n v="122508"/>
    <n v="12"/>
    <n v="258682"/>
  </r>
  <r>
    <s v="NADIA"/>
    <n v="90"/>
    <s v="Ranaghat Dakshin"/>
    <n v="308"/>
    <n v="142414"/>
    <n v="134286"/>
    <n v="2"/>
    <n v="276702"/>
  </r>
  <r>
    <s v="NADIA"/>
    <n v="91"/>
    <s v="Chakdaha"/>
    <n v="269"/>
    <n v="122563"/>
    <n v="116880"/>
    <n v="3"/>
    <n v="239446"/>
  </r>
  <r>
    <s v="NADIA"/>
    <n v="92"/>
    <s v="Kalyani"/>
    <n v="282"/>
    <n v="125988"/>
    <n v="122310"/>
    <n v="8"/>
    <n v="248306"/>
  </r>
  <r>
    <s v="NADIA"/>
    <n v="93"/>
    <s v="Haringhata"/>
    <n v="258"/>
    <n v="122293"/>
    <n v="114290"/>
    <n v="5"/>
    <n v="236588"/>
  </r>
  <r>
    <s v="NORTH 24 PARGANAS"/>
    <n v="94"/>
    <s v="Bagda"/>
    <n v="300"/>
    <n v="137251"/>
    <n v="125883"/>
    <n v="8"/>
    <n v="263142"/>
  </r>
  <r>
    <s v="NORTH 24 PARGANAS"/>
    <n v="95"/>
    <s v="Bangaon Uttar"/>
    <n v="276"/>
    <n v="124052"/>
    <n v="117260"/>
    <n v="25"/>
    <n v="241337"/>
  </r>
  <r>
    <s v="NORTH 24 PARGANAS"/>
    <n v="96"/>
    <s v="Bangaon Dakshin"/>
    <n v="270"/>
    <n v="126141"/>
    <n v="118665"/>
    <n v="8"/>
    <n v="244814"/>
  </r>
  <r>
    <s v="NORTH 24 PARGANAS"/>
    <n v="97"/>
    <s v="Gaighata"/>
    <n v="274"/>
    <n v="127357"/>
    <n v="121290"/>
    <n v="5"/>
    <n v="248652"/>
  </r>
  <r>
    <s v="NORTH 24 PARGANAS"/>
    <n v="98"/>
    <s v="Swarupnagar"/>
    <n v="271"/>
    <n v="123891"/>
    <n v="116566"/>
    <n v="2"/>
    <n v="240459"/>
  </r>
  <r>
    <s v="NORTH 24 PARGANAS"/>
    <n v="99"/>
    <s v="Baduria"/>
    <n v="273"/>
    <n v="125622"/>
    <n v="118716"/>
    <n v="4"/>
    <n v="244342"/>
  </r>
  <r>
    <s v="NORTH 24 PARGANAS"/>
    <n v="100"/>
    <s v="Habra"/>
    <n v="261"/>
    <n v="119890"/>
    <n v="112047"/>
    <n v="8"/>
    <n v="231945"/>
  </r>
  <r>
    <s v="NORTH 24 PARGANAS"/>
    <n v="101"/>
    <s v="Ashoknagar"/>
    <n v="282"/>
    <n v="125072"/>
    <n v="120380"/>
    <n v="8"/>
    <n v="245460"/>
  </r>
  <r>
    <s v="NORTH 24 PARGANAS"/>
    <n v="102"/>
    <s v="Amdanga"/>
    <n v="269"/>
    <n v="125410"/>
    <n v="116640"/>
    <n v="5"/>
    <n v="242055"/>
  </r>
  <r>
    <s v="NORTH 24 PARGANAS"/>
    <n v="103"/>
    <s v="Bijpur"/>
    <n v="205"/>
    <n v="82695"/>
    <n v="81722"/>
    <n v="4"/>
    <n v="164421"/>
  </r>
  <r>
    <s v="NORTH 24 PARGANAS"/>
    <n v="104"/>
    <s v="Naihati"/>
    <n v="210"/>
    <n v="90005"/>
    <n v="90418"/>
    <n v="7"/>
    <n v="180430"/>
  </r>
  <r>
    <s v="NORTH 24 PARGANAS"/>
    <n v="105"/>
    <s v="Bhatpara"/>
    <n v="163"/>
    <n v="64672"/>
    <n v="58967"/>
    <n v="4"/>
    <n v="123643"/>
  </r>
  <r>
    <s v="NORTH 24 PARGANAS"/>
    <n v="106"/>
    <s v="Jagatdal"/>
    <n v="238"/>
    <n v="107138"/>
    <n v="103656"/>
    <n v="12"/>
    <n v="210806"/>
  </r>
  <r>
    <s v="NORTH 24 PARGANAS"/>
    <n v="107"/>
    <s v="Noapara"/>
    <n v="279"/>
    <n v="113562"/>
    <n v="113762"/>
    <n v="4"/>
    <n v="227328"/>
  </r>
  <r>
    <s v="NORTH 24 PARGANAS"/>
    <n v="108"/>
    <s v="Barrackpur"/>
    <n v="231"/>
    <n v="87879"/>
    <n v="86833"/>
    <n v="1"/>
    <n v="174713"/>
  </r>
  <r>
    <s v="NORTH 24 PARGANAS"/>
    <n v="109"/>
    <s v="Khardaha"/>
    <n v="241"/>
    <n v="109912"/>
    <n v="110021"/>
    <n v="9"/>
    <n v="219942"/>
  </r>
  <r>
    <s v="NORTH 24 PARGANAS"/>
    <n v="110"/>
    <s v="Dum Dum Uttar"/>
    <n v="285"/>
    <n v="121850"/>
    <n v="125818"/>
    <n v="4"/>
    <n v="247672"/>
  </r>
  <r>
    <s v="NORTH 24 PARGANAS"/>
    <n v="111"/>
    <s v="Panihati"/>
    <n v="253"/>
    <n v="97756"/>
    <n v="100695"/>
    <n v="4"/>
    <n v="198455"/>
  </r>
  <r>
    <s v="NORTH 24 PARGANAS"/>
    <n v="112"/>
    <s v="Kamarhati"/>
    <n v="217"/>
    <n v="82916"/>
    <n v="84285"/>
    <n v="6"/>
    <n v="167207"/>
  </r>
  <r>
    <s v="NORTH 24 PARGANAS"/>
    <n v="113"/>
    <s v="Baranagar"/>
    <n v="252"/>
    <n v="91701"/>
    <n v="97068"/>
    <n v="4"/>
    <n v="188773"/>
  </r>
  <r>
    <s v="NORTH 24 PARGANAS"/>
    <n v="114"/>
    <s v="Dum Dum"/>
    <n v="276"/>
    <n v="108091"/>
    <n v="114452"/>
    <n v="7"/>
    <n v="222550"/>
  </r>
  <r>
    <s v="NORTH 24 PARGANAS"/>
    <n v="115"/>
    <s v="Rajarhat New Town"/>
    <n v="316"/>
    <n v="145803"/>
    <n v="140640"/>
    <n v="5"/>
    <n v="286448"/>
  </r>
  <r>
    <s v="NORTH 24 PARGANAS"/>
    <n v="116"/>
    <s v="Bidhannagar"/>
    <n v="281"/>
    <n v="98181"/>
    <n v="104181"/>
    <n v="8"/>
    <n v="202370"/>
  </r>
  <r>
    <s v="NORTH 24 PARGANAS"/>
    <n v="117"/>
    <s v="Rajarhat Gopalpur"/>
    <n v="268"/>
    <n v="109320"/>
    <n v="115818"/>
    <n v="8"/>
    <n v="225146"/>
  </r>
  <r>
    <s v="NORTH 24 PARGANAS"/>
    <n v="118"/>
    <s v="Madhyamgram"/>
    <n v="296"/>
    <n v="133408"/>
    <n v="130707"/>
    <n v="4"/>
    <n v="264119"/>
  </r>
  <r>
    <s v="NORTH 24 PARGANAS"/>
    <n v="119"/>
    <s v="Barasat"/>
    <n v="298"/>
    <n v="131873"/>
    <n v="132020"/>
    <n v="16"/>
    <n v="263909"/>
  </r>
  <r>
    <s v="NORTH 24 PARGANAS"/>
    <n v="120"/>
    <s v="Deganga"/>
    <n v="262"/>
    <n v="126544"/>
    <n v="116942"/>
    <n v="4"/>
    <n v="243490"/>
  </r>
  <r>
    <s v="NORTH 24 PARGANAS"/>
    <n v="121"/>
    <s v="Haroa"/>
    <n v="279"/>
    <n v="135270"/>
    <n v="122942"/>
    <n v="5"/>
    <n v="258217"/>
  </r>
  <r>
    <s v="NORTH 24 PARGANAS"/>
    <n v="122"/>
    <s v="Minakhan"/>
    <n v="249"/>
    <n v="125719"/>
    <n v="113889"/>
    <n v="4"/>
    <n v="239612"/>
  </r>
  <r>
    <s v="NORTH 24 PARGANAS"/>
    <n v="123"/>
    <s v="Sandeshkhali"/>
    <n v="252"/>
    <n v="122056"/>
    <n v="112207"/>
    <n v="5"/>
    <n v="234268"/>
  </r>
  <r>
    <s v="NORTH 24 PARGANAS"/>
    <n v="124"/>
    <s v="Basirhat Dakshin"/>
    <n v="290"/>
    <n v="136420"/>
    <n v="131558"/>
    <n v="5"/>
    <n v="267983"/>
  </r>
  <r>
    <s v="NORTH 24 PARGANAS"/>
    <n v="125"/>
    <s v="Basirhat Uttar"/>
    <n v="286"/>
    <n v="140305"/>
    <n v="130467"/>
    <n v="3"/>
    <n v="270775"/>
  </r>
  <r>
    <s v="NORTH 24 PARGANAS"/>
    <n v="126"/>
    <s v="Hingalganj"/>
    <n v="255"/>
    <n v="115525"/>
    <n v="108536"/>
    <n v="4"/>
    <n v="224065"/>
  </r>
  <r>
    <s v="SOUTH 24 PARGANAS"/>
    <n v="127"/>
    <s v="Gosaba"/>
    <n v="260"/>
    <n v="116703"/>
    <n v="107877"/>
    <n v="4"/>
    <n v="224584"/>
  </r>
  <r>
    <s v="SOUTH 24 PARGANAS"/>
    <n v="128"/>
    <s v="Basanti"/>
    <n v="276"/>
    <n v="131341"/>
    <n v="121229"/>
    <n v="2"/>
    <n v="252572"/>
  </r>
  <r>
    <s v="SOUTH 24 PARGANAS"/>
    <n v="129"/>
    <s v="Kultali"/>
    <n v="279"/>
    <n v="138478"/>
    <n v="124760"/>
    <n v="18"/>
    <n v="263256"/>
  </r>
  <r>
    <s v="SOUTH 24 PARGANAS"/>
    <n v="130"/>
    <s v="Patharpratima"/>
    <n v="288"/>
    <n v="138227"/>
    <n v="125249"/>
    <n v="2"/>
    <n v="263478"/>
  </r>
  <r>
    <s v="SOUTH 24 PARGANAS"/>
    <n v="131"/>
    <s v="Kakdwip"/>
    <n v="271"/>
    <n v="131074"/>
    <n v="119529"/>
    <n v="4"/>
    <n v="250607"/>
  </r>
  <r>
    <s v="SOUTH 24 PARGANAS"/>
    <n v="132"/>
    <s v="Sagar"/>
    <n v="287"/>
    <n v="145384"/>
    <n v="131855"/>
    <n v="1"/>
    <n v="277240"/>
  </r>
  <r>
    <s v="SOUTH 24 PARGANAS"/>
    <n v="133"/>
    <s v="Kulpi"/>
    <n v="247"/>
    <n v="113712"/>
    <n v="106849"/>
    <n v="5"/>
    <n v="220566"/>
  </r>
  <r>
    <s v="SOUTH 24 PARGANAS"/>
    <n v="134"/>
    <s v="Raidighi"/>
    <n v="297"/>
    <n v="141918"/>
    <n v="130893"/>
    <n v="5"/>
    <n v="272816"/>
  </r>
  <r>
    <s v="SOUTH 24 PARGANAS"/>
    <n v="135"/>
    <s v="Mandirbazar"/>
    <n v="265"/>
    <n v="117989"/>
    <n v="109161"/>
    <n v="4"/>
    <n v="227154"/>
  </r>
  <r>
    <s v="SOUTH 24 PARGANAS"/>
    <n v="136"/>
    <s v="Joynagar"/>
    <n v="259"/>
    <n v="119852"/>
    <n v="112080"/>
    <n v="7"/>
    <n v="231939"/>
  </r>
  <r>
    <s v="SOUTH 24 PARGANAS"/>
    <n v="137"/>
    <s v="Baruipur Purba"/>
    <n v="286"/>
    <n v="129960"/>
    <n v="122055"/>
    <n v="11"/>
    <n v="252026"/>
  </r>
  <r>
    <s v="SOUTH 24 PARGANAS"/>
    <n v="138"/>
    <s v="Canning Paschim"/>
    <n v="270"/>
    <n v="129275"/>
    <n v="120703"/>
    <n v="14"/>
    <n v="249992"/>
  </r>
  <r>
    <s v="SOUTH 24 PARGANAS"/>
    <n v="139"/>
    <s v="Canning Purba"/>
    <n v="273"/>
    <n v="134175"/>
    <n v="123617"/>
    <n v="25"/>
    <n v="257817"/>
  </r>
  <r>
    <s v="SOUTH 24 PARGANAS"/>
    <n v="140"/>
    <s v="Baruipur Paschim"/>
    <n v="279"/>
    <n v="119496"/>
    <n v="119481"/>
    <n v="22"/>
    <n v="238999"/>
  </r>
  <r>
    <s v="SOUTH 24 PARGANAS"/>
    <n v="141"/>
    <s v="Magrahat Purba"/>
    <n v="265"/>
    <n v="123742"/>
    <n v="114064"/>
    <n v="2"/>
    <n v="237808"/>
  </r>
  <r>
    <s v="SOUTH 24 PARGANAS"/>
    <n v="142"/>
    <s v="Magrahat Paschim"/>
    <n v="246"/>
    <n v="118538"/>
    <n v="108234"/>
    <n v="6"/>
    <n v="226778"/>
  </r>
  <r>
    <s v="SOUTH 24 PARGANAS"/>
    <n v="143"/>
    <s v="Diamond Harbour"/>
    <n v="283"/>
    <n v="129330"/>
    <n v="123681"/>
    <n v="4"/>
    <n v="253015"/>
  </r>
  <r>
    <s v="SOUTH 24 PARGANAS"/>
    <n v="144"/>
    <s v="Falta"/>
    <n v="261"/>
    <n v="119866"/>
    <n v="113769"/>
    <n v="9"/>
    <n v="233644"/>
  </r>
  <r>
    <s v="SOUTH 24 PARGANAS"/>
    <n v="145"/>
    <s v="Satgachhia"/>
    <n v="309"/>
    <n v="133624"/>
    <n v="127688"/>
    <n v="8"/>
    <n v="261320"/>
  </r>
  <r>
    <s v="SOUTH 24 PARGANAS"/>
    <n v="146"/>
    <s v="Bishnupur"/>
    <n v="304"/>
    <n v="139105"/>
    <n v="133596"/>
    <n v="19"/>
    <n v="272720"/>
  </r>
  <r>
    <s v="SOUTH 24 PARGANAS"/>
    <n v="147"/>
    <s v="Sonarpur Dakshin"/>
    <n v="300"/>
    <n v="132281"/>
    <n v="135612"/>
    <n v="18"/>
    <n v="267911"/>
  </r>
  <r>
    <s v="SOUTH 24 PARGANAS"/>
    <n v="148"/>
    <s v="Bhangar"/>
    <n v="286"/>
    <n v="141431"/>
    <n v="129516"/>
    <n v="16"/>
    <n v="270963"/>
  </r>
  <r>
    <s v="SOUTH 24 PARGANAS"/>
    <n v="149"/>
    <s v="Kasba"/>
    <n v="317"/>
    <n v="131343"/>
    <n v="133653"/>
    <n v="7"/>
    <n v="265003"/>
  </r>
  <r>
    <s v="SOUTH 24 PARGANAS"/>
    <n v="150"/>
    <s v="Jadavpur"/>
    <n v="347"/>
    <n v="122304"/>
    <n v="133826"/>
    <n v="6"/>
    <n v="256136"/>
  </r>
  <r>
    <s v="SOUTH 24 PARGANAS"/>
    <n v="151"/>
    <s v="Sonarpur Uttar"/>
    <n v="323"/>
    <n v="141740"/>
    <n v="143586"/>
    <n v="21"/>
    <n v="285347"/>
  </r>
  <r>
    <s v="SOUTH 24 PARGANAS"/>
    <n v="152"/>
    <s v="Tollyganj"/>
    <n v="310"/>
    <n v="110002"/>
    <n v="118438"/>
    <n v="8"/>
    <n v="228448"/>
  </r>
  <r>
    <s v="SOUTH 24 PARGANAS"/>
    <n v="153"/>
    <s v="Behala Purba"/>
    <n v="316"/>
    <n v="125521"/>
    <n v="133082"/>
    <n v="6"/>
    <n v="258609"/>
  </r>
  <r>
    <s v="SOUTH 24 PARGANAS"/>
    <n v="154"/>
    <s v="Behala Paschim"/>
    <n v="350"/>
    <n v="127891"/>
    <n v="137273"/>
    <n v="4"/>
    <n v="265168"/>
  </r>
  <r>
    <s v="SOUTH 24 PARGANAS"/>
    <n v="155"/>
    <s v="Maheshtala"/>
    <n v="292"/>
    <n v="125036"/>
    <n v="122692"/>
    <n v="13"/>
    <n v="247741"/>
  </r>
  <r>
    <s v="SOUTH 24 PARGANAS"/>
    <n v="156"/>
    <s v="Budge Budge"/>
    <n v="278"/>
    <n v="120828"/>
    <n v="117558"/>
    <n v="6"/>
    <n v="238392"/>
  </r>
  <r>
    <s v="SOUTH 24 PARGANAS"/>
    <n v="157"/>
    <s v="Metiaburuz"/>
    <n v="235"/>
    <n v="119845"/>
    <n v="104379"/>
    <n v="3"/>
    <n v="224227"/>
  </r>
  <r>
    <s v="KOLKATA SOUTH"/>
    <n v="158"/>
    <s v="Kolkata Port"/>
    <n v="266"/>
    <n v="95472"/>
    <n v="84258"/>
    <n v="5"/>
    <n v="179735"/>
  </r>
  <r>
    <s v="KOLKATA SOUTH"/>
    <n v="159"/>
    <s v="Bhabanipur"/>
    <n v="267"/>
    <n v="81846"/>
    <n v="79674"/>
    <n v="5"/>
    <n v="161525"/>
  </r>
  <r>
    <s v="KOLKATA SOUTH"/>
    <n v="160"/>
    <s v="Rashbehari"/>
    <n v="268"/>
    <n v="76961"/>
    <n v="83053"/>
    <n v="7"/>
    <n v="160021"/>
  </r>
  <r>
    <s v="KOLKATA SOUTH"/>
    <n v="161"/>
    <s v="Ballygunge"/>
    <n v="291"/>
    <n v="96761"/>
    <n v="93258"/>
    <n v="6"/>
    <n v="190025"/>
  </r>
  <r>
    <s v="KOLKATA NORTH"/>
    <n v="162"/>
    <s v="Chowrangee"/>
    <n v="222"/>
    <n v="72340"/>
    <n v="63390"/>
    <n v="6"/>
    <n v="135736"/>
  </r>
  <r>
    <s v="KOLKATA NORTH"/>
    <n v="163"/>
    <s v="Entally"/>
    <n v="260"/>
    <n v="97121"/>
    <n v="92743"/>
    <n v="9"/>
    <n v="189873"/>
  </r>
  <r>
    <s v="KOLKATA NORTH"/>
    <n v="164"/>
    <s v="Beleghata"/>
    <n v="312"/>
    <n v="99546"/>
    <n v="95907"/>
    <n v="6"/>
    <n v="195459"/>
  </r>
  <r>
    <s v="KOLKATA NORTH"/>
    <n v="165"/>
    <s v="Jorasanko"/>
    <n v="250"/>
    <n v="66822"/>
    <n v="58118"/>
    <n v="0"/>
    <n v="124940"/>
  </r>
  <r>
    <s v="KOLKATA NORTH"/>
    <n v="166"/>
    <s v="Shyampukur"/>
    <n v="221"/>
    <n v="67120"/>
    <n v="66386"/>
    <n v="7"/>
    <n v="133513"/>
  </r>
  <r>
    <s v="KOLKATA NORTH"/>
    <n v="167"/>
    <s v="Maniktola"/>
    <n v="277"/>
    <n v="83393"/>
    <n v="83643"/>
    <n v="8"/>
    <n v="167044"/>
  </r>
  <r>
    <s v="KOLKATA NORTH"/>
    <n v="168"/>
    <s v="Kashipur-Belgachhia"/>
    <n v="290"/>
    <n v="86314"/>
    <n v="83067"/>
    <n v="3"/>
    <n v="169384"/>
  </r>
  <r>
    <s v="HOWRAH"/>
    <n v="169"/>
    <s v="Bally"/>
    <n v="196"/>
    <n v="73441"/>
    <n v="69545"/>
    <n v="5"/>
    <n v="142991"/>
  </r>
  <r>
    <s v="HOWRAH"/>
    <n v="170"/>
    <s v="Howrah Uttar"/>
    <n v="234"/>
    <n v="85560"/>
    <n v="78164"/>
    <n v="8"/>
    <n v="163732"/>
  </r>
  <r>
    <s v="HOWRAH"/>
    <n v="171"/>
    <s v="Howrah Madhya"/>
    <n v="313"/>
    <n v="112811"/>
    <n v="109879"/>
    <n v="5"/>
    <n v="222695"/>
  </r>
  <r>
    <s v="HOWRAH"/>
    <n v="172"/>
    <s v="Shibpur"/>
    <n v="240"/>
    <n v="100014"/>
    <n v="102146"/>
    <n v="4"/>
    <n v="202164"/>
  </r>
  <r>
    <s v="HOWRAH"/>
    <n v="173"/>
    <s v="Howrah Dakshin"/>
    <n v="317"/>
    <n v="126462"/>
    <n v="124027"/>
    <n v="2"/>
    <n v="250491"/>
  </r>
  <r>
    <s v="HOWRAH"/>
    <n v="174"/>
    <s v="Sankrail"/>
    <n v="303"/>
    <n v="130500"/>
    <n v="124185"/>
    <n v="8"/>
    <n v="254693"/>
  </r>
  <r>
    <s v="HOWRAH"/>
    <n v="175"/>
    <s v="Panchla"/>
    <n v="292"/>
    <n v="131821"/>
    <n v="121962"/>
    <n v="3"/>
    <n v="253786"/>
  </r>
  <r>
    <s v="HOWRAH"/>
    <n v="176"/>
    <s v="Uluberia Purba"/>
    <n v="248"/>
    <n v="111775"/>
    <n v="107687"/>
    <n v="8"/>
    <n v="219470"/>
  </r>
  <r>
    <s v="HOWRAH"/>
    <n v="177"/>
    <s v="Uluberia Uttar"/>
    <n v="243"/>
    <n v="112956"/>
    <n v="104218"/>
    <n v="3"/>
    <n v="217177"/>
  </r>
  <r>
    <s v="HOWRAH"/>
    <n v="178"/>
    <s v="Uluberia Dakshin"/>
    <n v="263"/>
    <n v="122578"/>
    <n v="114975"/>
    <n v="13"/>
    <n v="237566"/>
  </r>
  <r>
    <s v="HOWRAH"/>
    <n v="179"/>
    <s v="Shyampur"/>
    <n v="303"/>
    <n v="132564"/>
    <n v="127037"/>
    <n v="4"/>
    <n v="259605"/>
  </r>
  <r>
    <s v="HOWRAH"/>
    <n v="180"/>
    <s v="Bagnan"/>
    <n v="253"/>
    <n v="117592"/>
    <n v="112588"/>
    <n v="4"/>
    <n v="230184"/>
  </r>
  <r>
    <s v="HOWRAH"/>
    <n v="181"/>
    <s v="Amta"/>
    <n v="292"/>
    <n v="130884"/>
    <n v="121845"/>
    <n v="5"/>
    <n v="252734"/>
  </r>
  <r>
    <s v="HOWRAH"/>
    <n v="182"/>
    <s v="Udaynarayanpur"/>
    <n v="261"/>
    <n v="117044"/>
    <n v="111747"/>
    <n v="0"/>
    <n v="228791"/>
  </r>
  <r>
    <s v="HOWRAH"/>
    <n v="183"/>
    <s v="Jagatballavpur"/>
    <n v="319"/>
    <n v="141002"/>
    <n v="134464"/>
    <n v="9"/>
    <n v="275475"/>
  </r>
  <r>
    <s v="HOWRAH"/>
    <n v="184"/>
    <s v="Domjur"/>
    <n v="316"/>
    <n v="142753"/>
    <n v="139256"/>
    <n v="8"/>
    <n v="282017"/>
  </r>
  <r>
    <s v="HOOGHLY"/>
    <n v="185"/>
    <s v="Uttarpara"/>
    <n v="290"/>
    <n v="114935"/>
    <n v="118326"/>
    <n v="5"/>
    <n v="233266"/>
  </r>
  <r>
    <s v="HOOGHLY"/>
    <n v="186"/>
    <s v="Sreerampur"/>
    <n v="271"/>
    <n v="108247"/>
    <n v="106391"/>
    <n v="4"/>
    <n v="214642"/>
  </r>
  <r>
    <s v="HOOGHLY"/>
    <n v="187"/>
    <s v="Champdani"/>
    <n v="291"/>
    <n v="113329"/>
    <n v="113676"/>
    <n v="10"/>
    <n v="227015"/>
  </r>
  <r>
    <s v="HOOGHLY"/>
    <n v="188"/>
    <s v="Singur"/>
    <n v="277"/>
    <n v="121536"/>
    <n v="120494"/>
    <n v="6"/>
    <n v="242036"/>
  </r>
  <r>
    <s v="HOOGHLY"/>
    <n v="189"/>
    <s v="Chandannagar"/>
    <n v="263"/>
    <n v="102265"/>
    <n v="105659"/>
    <n v="8"/>
    <n v="207932"/>
  </r>
  <r>
    <s v="HOOGHLY"/>
    <n v="190"/>
    <s v="Chunchura"/>
    <n v="361"/>
    <n v="142550"/>
    <n v="146878"/>
    <n v="11"/>
    <n v="289439"/>
  </r>
  <r>
    <s v="HOOGHLY"/>
    <n v="191"/>
    <s v="Balagarh"/>
    <n v="288"/>
    <n v="126696"/>
    <n v="122851"/>
    <n v="6"/>
    <n v="249553"/>
  </r>
  <r>
    <s v="HOOGHLY"/>
    <n v="192"/>
    <s v="Pandua"/>
    <n v="291"/>
    <n v="130960"/>
    <n v="130267"/>
    <n v="12"/>
    <n v="261239"/>
  </r>
  <r>
    <s v="HOOGHLY"/>
    <n v="193"/>
    <s v="Saptagram"/>
    <n v="256"/>
    <n v="110117"/>
    <n v="107730"/>
    <n v="5"/>
    <n v="217852"/>
  </r>
  <r>
    <s v="HOOGHLY"/>
    <n v="194"/>
    <s v="Chanditala"/>
    <n v="303"/>
    <n v="128816"/>
    <n v="125258"/>
    <n v="3"/>
    <n v="254077"/>
  </r>
  <r>
    <s v="HOOGHLY"/>
    <n v="195"/>
    <s v="Jangipara"/>
    <n v="284"/>
    <n v="129441"/>
    <n v="124256"/>
    <n v="4"/>
    <n v="253701"/>
  </r>
  <r>
    <s v="HOOGHLY"/>
    <n v="196"/>
    <s v="Haripal"/>
    <n v="301"/>
    <n v="132975"/>
    <n v="130206"/>
    <n v="3"/>
    <n v="263184"/>
  </r>
  <r>
    <s v="HOOGHLY"/>
    <n v="197"/>
    <s v="Dhanekhali"/>
    <n v="312"/>
    <n v="132353"/>
    <n v="132277"/>
    <n v="2"/>
    <n v="264632"/>
  </r>
  <r>
    <s v="HOOGHLY"/>
    <n v="198"/>
    <s v="Tarakeswar"/>
    <n v="270"/>
    <n v="117879"/>
    <n v="117308"/>
    <n v="5"/>
    <n v="235192"/>
  </r>
  <r>
    <s v="HOOGHLY"/>
    <n v="199"/>
    <s v="Pursurah"/>
    <n v="297"/>
    <n v="133383"/>
    <n v="128520"/>
    <n v="1"/>
    <n v="261904"/>
  </r>
  <r>
    <s v="HOOGHLY"/>
    <n v="200"/>
    <s v="Arambag"/>
    <n v="293"/>
    <n v="129603"/>
    <n v="125686"/>
    <n v="2"/>
    <n v="255291"/>
  </r>
  <r>
    <s v="HOOGHLY"/>
    <n v="201"/>
    <s v="Goghat"/>
    <n v="280"/>
    <n v="126886"/>
    <n v="121826"/>
    <n v="1"/>
    <n v="248713"/>
  </r>
  <r>
    <s v="HOOGHLY"/>
    <n v="202"/>
    <s v="Khanakul"/>
    <n v="309"/>
    <n v="142520"/>
    <n v="134033"/>
    <n v="4"/>
    <n v="276557"/>
  </r>
  <r>
    <s v="PURBO MEDINIPUR"/>
    <n v="203"/>
    <s v="Tamluk"/>
    <n v="293"/>
    <n v="138842"/>
    <n v="133688"/>
    <n v="7"/>
    <n v="272537"/>
  </r>
  <r>
    <s v="PURBO MEDINIPUR"/>
    <n v="204"/>
    <s v="Panskura Purba"/>
    <n v="257"/>
    <n v="122091"/>
    <n v="115097"/>
    <n v="6"/>
    <n v="237194"/>
  </r>
  <r>
    <s v="PURBO MEDINIPUR"/>
    <n v="205"/>
    <s v="Panskura Paschim"/>
    <n v="308"/>
    <n v="143031"/>
    <n v="135805"/>
    <n v="3"/>
    <n v="278839"/>
  </r>
  <r>
    <s v="PURBO MEDINIPUR"/>
    <n v="206"/>
    <s v="Moyna"/>
    <n v="277"/>
    <n v="136800"/>
    <n v="127165"/>
    <n v="3"/>
    <n v="263968"/>
  </r>
  <r>
    <s v="PURBO MEDINIPUR"/>
    <n v="207"/>
    <s v="Nandakumar"/>
    <n v="274"/>
    <n v="135642"/>
    <n v="127962"/>
    <n v="3"/>
    <n v="263607"/>
  </r>
  <r>
    <s v="PURBO MEDINIPUR"/>
    <n v="208"/>
    <s v="Mahishadal"/>
    <n v="269"/>
    <n v="129066"/>
    <n v="122965"/>
    <n v="2"/>
    <n v="252033"/>
  </r>
  <r>
    <s v="PURBO MEDINIPUR"/>
    <n v="209"/>
    <s v="Haldia"/>
    <n v="272"/>
    <n v="129251"/>
    <n v="122375"/>
    <n v="12"/>
    <n v="251638"/>
  </r>
  <r>
    <s v="PURBO MEDINIPUR"/>
    <n v="210"/>
    <s v="Nandigram"/>
    <n v="286"/>
    <n v="139477"/>
    <n v="128130"/>
    <n v="1"/>
    <n v="267608"/>
  </r>
  <r>
    <s v="PURBO MEDINIPUR"/>
    <n v="211"/>
    <s v="Chandipur"/>
    <n v="258"/>
    <n v="132071"/>
    <n v="123054"/>
    <n v="0"/>
    <n v="255125"/>
  </r>
  <r>
    <s v="PURBO MEDINIPUR"/>
    <n v="212"/>
    <s v="Patashpur"/>
    <n v="249"/>
    <n v="127431"/>
    <n v="118029"/>
    <n v="1"/>
    <n v="245461"/>
  </r>
  <r>
    <s v="PURBO MEDINIPUR"/>
    <n v="213"/>
    <s v="Kanthi Uttar"/>
    <n v="290"/>
    <n v="136163"/>
    <n v="126627"/>
    <n v="0"/>
    <n v="262790"/>
  </r>
  <r>
    <s v="PURBO MEDINIPUR"/>
    <n v="214"/>
    <s v="Bhagabanpur"/>
    <n v="280"/>
    <n v="135867"/>
    <n v="125675"/>
    <n v="2"/>
    <n v="261544"/>
  </r>
  <r>
    <s v="PURBO MEDINIPUR"/>
    <n v="215"/>
    <s v="Khejuri"/>
    <n v="254"/>
    <n v="128185"/>
    <n v="117428"/>
    <n v="0"/>
    <n v="245613"/>
  </r>
  <r>
    <s v="PURBO MEDINIPUR"/>
    <n v="216"/>
    <s v="Kanthi Dakshin"/>
    <n v="262"/>
    <n v="114648"/>
    <n v="110887"/>
    <n v="0"/>
    <n v="225535"/>
  </r>
  <r>
    <s v="PURBO MEDINIPUR"/>
    <n v="217"/>
    <s v="Ramnagar"/>
    <n v="283"/>
    <n v="136776"/>
    <n v="130725"/>
    <n v="4"/>
    <n v="267505"/>
  </r>
  <r>
    <s v="PURBO MEDINIPUR"/>
    <n v="218"/>
    <s v="Egra"/>
    <n v="308"/>
    <n v="149606"/>
    <n v="140808"/>
    <n v="1"/>
    <n v="290415"/>
  </r>
  <r>
    <s v="PASCHIM MEDINIPUR"/>
    <n v="219"/>
    <s v="Dantan"/>
    <n v="271"/>
    <n v="122367"/>
    <n v="114136"/>
    <n v="0"/>
    <n v="236503"/>
  </r>
  <r>
    <s v="JHARGRAM"/>
    <n v="220"/>
    <s v="Nayagram"/>
    <n v="266"/>
    <n v="115226"/>
    <n v="109407"/>
    <n v="1"/>
    <n v="224634"/>
  </r>
  <r>
    <s v="JHARGRAM"/>
    <n v="221"/>
    <s v="Gopiballavpur"/>
    <n v="287"/>
    <n v="113934"/>
    <n v="111787"/>
    <n v="0"/>
    <n v="225721"/>
  </r>
  <r>
    <s v="JHARGRAM"/>
    <n v="222"/>
    <s v="Jhargram"/>
    <n v="263"/>
    <n v="115560"/>
    <n v="117117"/>
    <n v="3"/>
    <n v="232680"/>
  </r>
  <r>
    <s v="PASCHIM MEDINIPUR"/>
    <n v="223"/>
    <s v="Keshiary"/>
    <n v="275"/>
    <n v="122639"/>
    <n v="116928"/>
    <n v="0"/>
    <n v="239567"/>
  </r>
  <r>
    <s v="PASCHIM MEDINIPUR"/>
    <n v="224"/>
    <s v="Kharagpur Sadar"/>
    <n v="270"/>
    <n v="95558"/>
    <n v="100378"/>
    <n v="11"/>
    <n v="195947"/>
  </r>
  <r>
    <s v="PASCHIM MEDINIPUR"/>
    <n v="225"/>
    <s v="Narayangarh"/>
    <n v="270"/>
    <n v="123679"/>
    <n v="118336"/>
    <n v="0"/>
    <n v="242015"/>
  </r>
  <r>
    <s v="PASCHIM MEDINIPUR"/>
    <n v="226"/>
    <s v="Sabang"/>
    <n v="306"/>
    <n v="140766"/>
    <n v="131608"/>
    <n v="1"/>
    <n v="272375"/>
  </r>
  <r>
    <s v="PASCHIM MEDINIPUR"/>
    <n v="227"/>
    <s v="Pingla"/>
    <n v="283"/>
    <n v="130495"/>
    <n v="125419"/>
    <n v="1"/>
    <n v="255915"/>
  </r>
  <r>
    <s v="PASCHIM MEDINIPUR"/>
    <n v="228"/>
    <s v="Kharagpur"/>
    <n v="247"/>
    <n v="112836"/>
    <n v="111860"/>
    <n v="3"/>
    <n v="224699"/>
  </r>
  <r>
    <s v="PASCHIM MEDINIPUR"/>
    <n v="229"/>
    <s v="Debra"/>
    <n v="265"/>
    <n v="116621"/>
    <n v="115235"/>
    <n v="5"/>
    <n v="231861"/>
  </r>
  <r>
    <s v="PASCHIM MEDINIPUR"/>
    <n v="230"/>
    <s v="Daspur"/>
    <n v="331"/>
    <n v="151007"/>
    <n v="147201"/>
    <n v="0"/>
    <n v="298208"/>
  </r>
  <r>
    <s v="PASCHIM MEDINIPUR"/>
    <n v="231"/>
    <s v="Ghatal"/>
    <n v="320"/>
    <n v="143212"/>
    <n v="136899"/>
    <n v="2"/>
    <n v="280113"/>
  </r>
  <r>
    <s v="PASCHIM MEDINIPUR"/>
    <n v="232"/>
    <s v="Chandrakona"/>
    <n v="329"/>
    <n v="145344"/>
    <n v="138649"/>
    <n v="0"/>
    <n v="283993"/>
  </r>
  <r>
    <s v="PASCHIM MEDINIPUR"/>
    <n v="233"/>
    <s v="Garbeta"/>
    <n v="266"/>
    <n v="120274"/>
    <n v="115444"/>
    <n v="1"/>
    <n v="235719"/>
  </r>
  <r>
    <s v="PASCHIM MEDINIPUR"/>
    <n v="234"/>
    <s v="Salboni"/>
    <n v="314"/>
    <n v="140667"/>
    <n v="138470"/>
    <n v="2"/>
    <n v="279139"/>
  </r>
  <r>
    <s v="PASCHIM MEDINIPUR"/>
    <n v="235"/>
    <s v="Keshpur"/>
    <n v="282"/>
    <n v="138813"/>
    <n v="128763"/>
    <n v="0"/>
    <n v="267576"/>
  </r>
  <r>
    <s v="PASCHIM MEDINIPUR"/>
    <n v="236"/>
    <s v="Medinipur"/>
    <n v="304"/>
    <n v="132670"/>
    <n v="136255"/>
    <n v="1"/>
    <n v="268926"/>
  </r>
  <r>
    <s v="JHARGRAM"/>
    <n v="237"/>
    <s v="Binpur"/>
    <n v="285"/>
    <n v="109227"/>
    <n v="109750"/>
    <n v="2"/>
    <n v="218979"/>
  </r>
  <r>
    <s v="PURULIA"/>
    <n v="238"/>
    <s v="Bandwan"/>
    <n v="343"/>
    <n v="144319"/>
    <n v="139804"/>
    <n v="0"/>
    <n v="284123"/>
  </r>
  <r>
    <s v="PURULIA"/>
    <n v="239"/>
    <s v="Balarampur"/>
    <n v="254"/>
    <n v="121394"/>
    <n v="112788"/>
    <n v="3"/>
    <n v="234185"/>
  </r>
  <r>
    <s v="PURULIA"/>
    <n v="240"/>
    <s v="Baghmundi"/>
    <n v="274"/>
    <n v="128767"/>
    <n v="120110"/>
    <n v="4"/>
    <n v="248881"/>
  </r>
  <r>
    <s v="PURULIA"/>
    <n v="241"/>
    <s v="Joypur"/>
    <n v="273"/>
    <n v="131209"/>
    <n v="121205"/>
    <n v="2"/>
    <n v="252416"/>
  </r>
  <r>
    <s v="PURULIA"/>
    <n v="242"/>
    <s v="Purulia"/>
    <n v="274"/>
    <n v="127576"/>
    <n v="122191"/>
    <n v="3"/>
    <n v="249770"/>
  </r>
  <r>
    <s v="PURULIA"/>
    <n v="243"/>
    <s v="Manbazar"/>
    <n v="290"/>
    <n v="127843"/>
    <n v="124359"/>
    <n v="1"/>
    <n v="252203"/>
  </r>
  <r>
    <s v="PURULIA"/>
    <n v="244"/>
    <s v="Kashipur"/>
    <n v="275"/>
    <n v="115799"/>
    <n v="112341"/>
    <n v="0"/>
    <n v="228140"/>
  </r>
  <r>
    <s v="PURULIA"/>
    <n v="245"/>
    <s v="Para"/>
    <n v="266"/>
    <n v="122389"/>
    <n v="112515"/>
    <n v="0"/>
    <n v="234904"/>
  </r>
  <r>
    <s v="PURULIA"/>
    <n v="246"/>
    <s v="Raghunathpur"/>
    <n v="280"/>
    <n v="129241"/>
    <n v="124162"/>
    <n v="1"/>
    <n v="253404"/>
  </r>
  <r>
    <s v="BANKURA"/>
    <n v="247"/>
    <s v="Saltora"/>
    <n v="267"/>
    <n v="119486"/>
    <n v="112711"/>
    <n v="0"/>
    <n v="232197"/>
  </r>
  <r>
    <s v="BANKURA"/>
    <n v="248"/>
    <s v="Chhatna"/>
    <n v="274"/>
    <n v="123392"/>
    <n v="117062"/>
    <n v="0"/>
    <n v="240454"/>
  </r>
  <r>
    <s v="BANKURA"/>
    <n v="249"/>
    <s v="Ranibandh"/>
    <n v="291"/>
    <n v="127859"/>
    <n v="125282"/>
    <n v="0"/>
    <n v="253141"/>
  </r>
  <r>
    <s v="BANKURA"/>
    <n v="250"/>
    <s v="Raipur"/>
    <n v="258"/>
    <n v="112081"/>
    <n v="109972"/>
    <n v="0"/>
    <n v="222053"/>
  </r>
  <r>
    <s v="BANKURA"/>
    <n v="251"/>
    <s v="Taldangra"/>
    <n v="264"/>
    <n v="119838"/>
    <n v="114769"/>
    <n v="0"/>
    <n v="234607"/>
  </r>
  <r>
    <s v="BANKURA"/>
    <n v="252"/>
    <s v="Bankura"/>
    <n v="310"/>
    <n v="129703"/>
    <n v="129288"/>
    <n v="0"/>
    <n v="258991"/>
  </r>
  <r>
    <s v="BANKURA"/>
    <n v="253"/>
    <s v="Barjora"/>
    <n v="297"/>
    <n v="127804"/>
    <n v="122548"/>
    <n v="1"/>
    <n v="250353"/>
  </r>
  <r>
    <s v="BANKURA"/>
    <n v="254"/>
    <s v="Onda"/>
    <n v="289"/>
    <n v="133610"/>
    <n v="127115"/>
    <n v="0"/>
    <n v="260725"/>
  </r>
  <r>
    <s v="BANKURA"/>
    <n v="255"/>
    <s v="Bishnupur"/>
    <n v="240"/>
    <n v="110587"/>
    <n v="108172"/>
    <n v="0"/>
    <n v="218759"/>
  </r>
  <r>
    <s v="BANKURA"/>
    <n v="256"/>
    <s v="Katulpur"/>
    <n v="281"/>
    <n v="128325"/>
    <n v="123130"/>
    <n v="1"/>
    <n v="251456"/>
  </r>
  <r>
    <s v="BANKURA"/>
    <n v="257"/>
    <s v="Indus"/>
    <n v="259"/>
    <n v="124030"/>
    <n v="119489"/>
    <n v="0"/>
    <n v="243519"/>
  </r>
  <r>
    <s v="BANKURA"/>
    <n v="258"/>
    <s v="Sonamukhi"/>
    <n v="259"/>
    <n v="119931"/>
    <n v="114823"/>
    <n v="0"/>
    <n v="234754"/>
  </r>
  <r>
    <s v="PURBA BARDHAMAN"/>
    <n v="259"/>
    <s v="Khandaghosh"/>
    <n v="271"/>
    <n v="124013"/>
    <n v="119746"/>
    <n v="0"/>
    <n v="243759"/>
  </r>
  <r>
    <s v="PURBA BARDHAMAN"/>
    <n v="260"/>
    <s v="Burdwan Dakshin"/>
    <n v="299"/>
    <n v="115454"/>
    <n v="120538"/>
    <n v="4"/>
    <n v="235996"/>
  </r>
  <r>
    <s v="PURBA BARDHAMAN"/>
    <n v="261"/>
    <s v="Raina"/>
    <n v="287"/>
    <n v="130057"/>
    <n v="124714"/>
    <n v="3"/>
    <n v="254774"/>
  </r>
  <r>
    <s v="PURBA BARDHAMAN"/>
    <n v="262"/>
    <s v="Jamalpur"/>
    <n v="258"/>
    <n v="117298"/>
    <n v="114284"/>
    <n v="5"/>
    <n v="231587"/>
  </r>
  <r>
    <s v="PURBA BARDHAMAN"/>
    <n v="263"/>
    <s v="Monteswar"/>
    <n v="280"/>
    <n v="122880"/>
    <n v="117791"/>
    <n v="5"/>
    <n v="240676"/>
  </r>
  <r>
    <s v="PURBA BARDHAMAN"/>
    <n v="264"/>
    <s v="Kalna"/>
    <n v="267"/>
    <n v="120004"/>
    <n v="115324"/>
    <n v="6"/>
    <n v="235334"/>
  </r>
  <r>
    <s v="PURBA BARDHAMAN"/>
    <n v="265"/>
    <s v="Memari"/>
    <n v="285"/>
    <n v="123557"/>
    <n v="121866"/>
    <n v="8"/>
    <n v="245431"/>
  </r>
  <r>
    <s v="PURBA BARDHAMAN"/>
    <n v="266"/>
    <s v="Burdwan Uttar"/>
    <n v="302"/>
    <n v="134739"/>
    <n v="134883"/>
    <n v="2"/>
    <n v="269624"/>
  </r>
  <r>
    <s v="PURBA BARDHAMAN"/>
    <n v="267"/>
    <s v="Bhatar"/>
    <n v="264"/>
    <n v="123191"/>
    <n v="120472"/>
    <n v="0"/>
    <n v="243663"/>
  </r>
  <r>
    <s v="PURBA BARDHAMAN"/>
    <n v="268"/>
    <s v="Purbasthali Dakshin"/>
    <n v="266"/>
    <n v="125283"/>
    <n v="118198"/>
    <n v="1"/>
    <n v="243482"/>
  </r>
  <r>
    <s v="PURBA BARDHAMAN"/>
    <n v="269"/>
    <s v="Purbasthali Uttar"/>
    <n v="278"/>
    <n v="131005"/>
    <n v="120487"/>
    <n v="7"/>
    <n v="251499"/>
  </r>
  <r>
    <s v="PURBA BARDHAMAN"/>
    <n v="270"/>
    <s v="Katwa"/>
    <n v="301"/>
    <n v="135638"/>
    <n v="130032"/>
    <n v="2"/>
    <n v="265672"/>
  </r>
  <r>
    <s v="PURBA BARDHAMAN"/>
    <n v="271"/>
    <s v="Ketugram"/>
    <n v="297"/>
    <n v="135453"/>
    <n v="126289"/>
    <n v="1"/>
    <n v="261743"/>
  </r>
  <r>
    <s v="PURBA BARDHAMAN"/>
    <n v="272"/>
    <s v="Mongalkote"/>
    <n v="283"/>
    <n v="129684"/>
    <n v="121912"/>
    <n v="1"/>
    <n v="251597"/>
  </r>
  <r>
    <s v="PURBA BARDHAMAN"/>
    <n v="273"/>
    <s v="Ausgram"/>
    <n v="271"/>
    <n v="123140"/>
    <n v="119843"/>
    <n v="3"/>
    <n v="242986"/>
  </r>
  <r>
    <s v="PURBA BARDHAMAN"/>
    <n v="274"/>
    <s v="Galsi"/>
    <n v="297"/>
    <n v="127998"/>
    <n v="124796"/>
    <n v="3"/>
    <n v="252797"/>
  </r>
  <r>
    <s v="PASCHIM BARDHAMAN"/>
    <n v="275"/>
    <s v="Pandabeswar"/>
    <n v="239"/>
    <n v="99548"/>
    <n v="93711"/>
    <n v="1"/>
    <n v="193260"/>
  </r>
  <r>
    <s v="PASCHIM BARDHAMAN"/>
    <n v="276"/>
    <s v="Durgapur Purba"/>
    <n v="291"/>
    <n v="119342"/>
    <n v="119682"/>
    <n v="1"/>
    <n v="239025"/>
  </r>
  <r>
    <s v="PASCHIM BARDHAMAN"/>
    <n v="277"/>
    <s v="Durgapur Paschim"/>
    <n v="306"/>
    <n v="124665"/>
    <n v="120915"/>
    <n v="5"/>
    <n v="245585"/>
  </r>
  <r>
    <s v="PASCHIM BARDHAMAN"/>
    <n v="278"/>
    <s v="Raniganj"/>
    <n v="286"/>
    <n v="114226"/>
    <n v="108524"/>
    <n v="4"/>
    <n v="222754"/>
  </r>
  <r>
    <s v="PASCHIM BARDHAMAN"/>
    <n v="279"/>
    <s v="Jamuria"/>
    <n v="249"/>
    <n v="103764"/>
    <n v="96735"/>
    <n v="3"/>
    <n v="200502"/>
  </r>
  <r>
    <s v="PASCHIM BARDHAMAN"/>
    <n v="280"/>
    <s v="Asansol Dakshin"/>
    <n v="302"/>
    <n v="126317"/>
    <n v="121100"/>
    <n v="5"/>
    <n v="247422"/>
  </r>
  <r>
    <s v="PASCHIM BARDHAMAN"/>
    <n v="281"/>
    <s v="Asansol Uttar"/>
    <n v="307"/>
    <n v="124983"/>
    <n v="122042"/>
    <n v="3"/>
    <n v="247028"/>
  </r>
  <r>
    <s v="PASCHIM BARDHAMAN"/>
    <n v="282"/>
    <s v="Kulti"/>
    <n v="270"/>
    <n v="114713"/>
    <n v="106916"/>
    <n v="5"/>
    <n v="221634"/>
  </r>
  <r>
    <s v="PASCHIM BARDHAMAN"/>
    <n v="283"/>
    <s v="Barabani"/>
    <n v="254"/>
    <n v="103299"/>
    <n v="100454"/>
    <n v="3"/>
    <n v="203756"/>
  </r>
  <r>
    <s v="BIRBHUM"/>
    <n v="284"/>
    <s v="Dubrajpur"/>
    <n v="275"/>
    <n v="122746"/>
    <n v="114575"/>
    <n v="1"/>
    <n v="237322"/>
  </r>
  <r>
    <s v="BIRBHUM"/>
    <n v="285"/>
    <s v="Suri"/>
    <n v="298"/>
    <n v="130148"/>
    <n v="127373"/>
    <n v="0"/>
    <n v="257521"/>
  </r>
  <r>
    <s v="BIRBHUM"/>
    <n v="286"/>
    <s v="Bolpur"/>
    <n v="296"/>
    <n v="135313"/>
    <n v="133379"/>
    <n v="8"/>
    <n v="268700"/>
  </r>
  <r>
    <s v="BIRBHUM"/>
    <n v="287"/>
    <s v="Nanoor"/>
    <n v="313"/>
    <n v="139314"/>
    <n v="133503"/>
    <n v="4"/>
    <n v="272821"/>
  </r>
  <r>
    <s v="BIRBHUM"/>
    <n v="288"/>
    <s v="Labhpur"/>
    <n v="255"/>
    <n v="120751"/>
    <n v="115132"/>
    <n v="2"/>
    <n v="235885"/>
  </r>
  <r>
    <s v="BIRBHUM"/>
    <n v="289"/>
    <s v="Sainthia"/>
    <n v="286"/>
    <n v="127225"/>
    <n v="123973"/>
    <n v="0"/>
    <n v="251198"/>
  </r>
  <r>
    <s v="BIRBHUM"/>
    <n v="290"/>
    <s v="Mayureswar"/>
    <n v="264"/>
    <n v="117082"/>
    <n v="112907"/>
    <n v="4"/>
    <n v="229993"/>
  </r>
  <r>
    <s v="BIRBHUM"/>
    <n v="291"/>
    <s v="Rampurhat"/>
    <n v="279"/>
    <n v="125888"/>
    <n v="127045"/>
    <n v="1"/>
    <n v="252934"/>
  </r>
  <r>
    <s v="BIRBHUM"/>
    <n v="292"/>
    <s v="Hansan"/>
    <n v="263"/>
    <n v="127655"/>
    <n v="122654"/>
    <n v="6"/>
    <n v="250315"/>
  </r>
  <r>
    <s v="BIRBHUM"/>
    <n v="293"/>
    <s v="Nalhati"/>
    <n v="258"/>
    <n v="123870"/>
    <n v="119489"/>
    <n v="8"/>
    <n v="243367"/>
  </r>
  <r>
    <s v="BIRBHUM"/>
    <n v="294"/>
    <s v="Murarai"/>
    <n v="289"/>
    <n v="136819"/>
    <n v="129548"/>
    <n v="1"/>
    <n v="266368"/>
  </r>
  <r>
    <m/>
    <m/>
    <s v="Total"/>
    <n v="80681"/>
    <n v="36199391"/>
    <n v="34615837"/>
    <n v="1402"/>
    <n v="70816630"/>
  </r>
  <r>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A5677E-4B1B-4909-BE24-AF42F2AB9046}"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2:B34" firstHeaderRow="1" firstDataRow="1" firstDataCol="1"/>
  <pivotFields count="8">
    <pivotField axis="axisRow" showAll="0">
      <items count="25">
        <item h="1" x="1"/>
        <item h="1" x="20"/>
        <item h="1" x="23"/>
        <item h="1" x="0"/>
        <item h="1" x="6"/>
        <item h="1" x="4"/>
        <item h="1" x="15"/>
        <item x="14"/>
        <item h="1" x="2"/>
        <item h="1" x="18"/>
        <item h="1" x="3"/>
        <item h="1" x="13"/>
        <item h="1" x="12"/>
        <item h="1" x="7"/>
        <item h="1" x="8"/>
        <item h="1" x="9"/>
        <item h="1" x="10"/>
        <item h="1" x="22"/>
        <item h="1" x="17"/>
        <item h="1" x="21"/>
        <item h="1" x="16"/>
        <item h="1" x="19"/>
        <item h="1" x="11"/>
        <item h="1" x="5"/>
        <item t="default"/>
      </items>
    </pivotField>
    <pivotField dataField="1" showAll="0"/>
    <pivotField showAll="0">
      <items count="294">
        <item x="11"/>
        <item x="101"/>
        <item x="180"/>
        <item x="199"/>
        <item x="278"/>
        <item x="279"/>
        <item x="100"/>
        <item x="271"/>
        <item x="98"/>
        <item x="93"/>
        <item x="239"/>
        <item x="179"/>
        <item x="71"/>
        <item x="53"/>
        <item x="190"/>
        <item x="238"/>
        <item x="168"/>
        <item x="160"/>
        <item x="38"/>
        <item x="237"/>
        <item x="95"/>
        <item x="94"/>
        <item x="251"/>
        <item x="281"/>
        <item x="112"/>
        <item x="118"/>
        <item x="252"/>
        <item x="107"/>
        <item x="139"/>
        <item x="136"/>
        <item x="127"/>
        <item x="123"/>
        <item x="124"/>
        <item x="153"/>
        <item x="152"/>
        <item x="70"/>
        <item x="163"/>
        <item x="158"/>
        <item x="61"/>
        <item x="213"/>
        <item x="147"/>
        <item x="68"/>
        <item x="265"/>
        <item x="104"/>
        <item x="115"/>
        <item x="102"/>
        <item x="236"/>
        <item x="145"/>
        <item x="284"/>
        <item x="155"/>
        <item x="258"/>
        <item x="264"/>
        <item x="66"/>
        <item x="137"/>
        <item x="138"/>
        <item x="90"/>
        <item x="30"/>
        <item x="186"/>
        <item x="44"/>
        <item x="188"/>
        <item x="210"/>
        <item x="193"/>
        <item x="231"/>
        <item x="81"/>
        <item x="247"/>
        <item x="27"/>
        <item x="161"/>
        <item x="189"/>
        <item x="3"/>
        <item x="2"/>
        <item x="18"/>
        <item x="218"/>
        <item x="22"/>
        <item x="229"/>
        <item x="228"/>
        <item x="119"/>
        <item x="196"/>
        <item x="14"/>
        <item x="142"/>
        <item x="6"/>
        <item x="183"/>
        <item x="74"/>
        <item x="282"/>
        <item x="113"/>
        <item x="109"/>
        <item x="275"/>
        <item x="274"/>
        <item x="217"/>
        <item x="50"/>
        <item x="162"/>
        <item x="12"/>
        <item x="143"/>
        <item x="54"/>
        <item x="96"/>
        <item x="272"/>
        <item x="40"/>
        <item x="232"/>
        <item x="43"/>
        <item x="230"/>
        <item x="29"/>
        <item x="200"/>
        <item x="220"/>
        <item x="126"/>
        <item x="42"/>
        <item x="99"/>
        <item x="208"/>
        <item x="290"/>
        <item x="72"/>
        <item x="92"/>
        <item x="195"/>
        <item x="41"/>
        <item x="45"/>
        <item x="120"/>
        <item x="32"/>
        <item x="125"/>
        <item x="172"/>
        <item x="170"/>
        <item x="169"/>
        <item x="255"/>
        <item x="28"/>
        <item x="35"/>
        <item x="149"/>
        <item x="182"/>
        <item x="105"/>
        <item x="75"/>
        <item x="16"/>
        <item x="260"/>
        <item x="277"/>
        <item x="194"/>
        <item x="57"/>
        <item x="221"/>
        <item x="164"/>
        <item x="135"/>
        <item x="240"/>
        <item x="130"/>
        <item x="10"/>
        <item x="33"/>
        <item x="79"/>
        <item x="21"/>
        <item x="262"/>
        <item x="91"/>
        <item x="111"/>
        <item x="67"/>
        <item x="215"/>
        <item x="212"/>
        <item x="31"/>
        <item x="76"/>
        <item x="148"/>
        <item x="243"/>
        <item x="167"/>
        <item x="254"/>
        <item x="268"/>
        <item x="222"/>
        <item x="234"/>
        <item x="269"/>
        <item x="201"/>
        <item x="257"/>
        <item x="227"/>
        <item x="223"/>
        <item x="108"/>
        <item x="65"/>
        <item x="214"/>
        <item x="157"/>
        <item x="87"/>
        <item x="84"/>
        <item x="82"/>
        <item x="132"/>
        <item x="128"/>
        <item x="280"/>
        <item x="37"/>
        <item x="9"/>
        <item x="23"/>
        <item x="36"/>
        <item x="286"/>
        <item x="60"/>
        <item x="13"/>
        <item x="117"/>
        <item x="141"/>
        <item x="140"/>
        <item x="154"/>
        <item x="207"/>
        <item x="19"/>
        <item x="46"/>
        <item x="49"/>
        <item x="242"/>
        <item x="134"/>
        <item x="48"/>
        <item x="166"/>
        <item x="1"/>
        <item x="24"/>
        <item x="15"/>
        <item x="288"/>
        <item x="235"/>
        <item x="0"/>
        <item x="263"/>
        <item x="156"/>
        <item x="121"/>
        <item x="270"/>
        <item x="261"/>
        <item x="51"/>
        <item x="205"/>
        <item x="292"/>
        <item x="63"/>
        <item x="83"/>
        <item x="64"/>
        <item x="20"/>
        <item x="103"/>
        <item x="80"/>
        <item x="291"/>
        <item x="206"/>
        <item x="209"/>
        <item x="285"/>
        <item x="73"/>
        <item x="224"/>
        <item x="7"/>
        <item x="219"/>
        <item x="106"/>
        <item x="253"/>
        <item x="78"/>
        <item x="174"/>
        <item x="273"/>
        <item x="191"/>
        <item x="110"/>
        <item x="204"/>
        <item x="203"/>
        <item x="244"/>
        <item x="211"/>
        <item x="129"/>
        <item x="26"/>
        <item x="226"/>
        <item x="266"/>
        <item x="267"/>
        <item x="198"/>
        <item x="241"/>
        <item x="58"/>
        <item x="245"/>
        <item x="133"/>
        <item x="34"/>
        <item x="259"/>
        <item x="249"/>
        <item x="116"/>
        <item x="114"/>
        <item x="17"/>
        <item x="216"/>
        <item x="289"/>
        <item x="89"/>
        <item x="86"/>
        <item x="88"/>
        <item x="248"/>
        <item x="276"/>
        <item x="62"/>
        <item x="159"/>
        <item x="47"/>
        <item x="69"/>
        <item x="225"/>
        <item x="131"/>
        <item x="59"/>
        <item x="287"/>
        <item x="233"/>
        <item x="246"/>
        <item x="55"/>
        <item x="122"/>
        <item x="173"/>
        <item x="85"/>
        <item x="192"/>
        <item x="144"/>
        <item x="171"/>
        <item x="165"/>
        <item x="178"/>
        <item x="25"/>
        <item x="187"/>
        <item x="5"/>
        <item x="4"/>
        <item x="256"/>
        <item x="146"/>
        <item x="150"/>
        <item x="185"/>
        <item x="52"/>
        <item x="283"/>
        <item x="56"/>
        <item x="97"/>
        <item x="250"/>
        <item x="202"/>
        <item x="39"/>
        <item x="197"/>
        <item x="77"/>
        <item x="151"/>
        <item x="8"/>
        <item x="181"/>
        <item x="177"/>
        <item x="175"/>
        <item x="176"/>
        <item x="184"/>
        <item t="default"/>
      </items>
    </pivotField>
    <pivotField showAll="0"/>
    <pivotField showAll="0"/>
    <pivotField showAll="0"/>
    <pivotField showAll="0"/>
    <pivotField showAll="0"/>
  </pivotFields>
  <rowFields count="1">
    <field x="0"/>
  </rowFields>
  <rowItems count="2">
    <i>
      <x v="7"/>
    </i>
    <i t="grand">
      <x/>
    </i>
  </rowItems>
  <colItems count="1">
    <i/>
  </colItems>
  <dataFields count="1">
    <dataField name="Sum of AC NO" fld="1" baseField="0" baseItem="0"/>
  </dataFields>
  <chartFormats count="1">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50BAEAB-15F8-4818-AD66-8103C088E625}" name="PivotTable2" cacheId="3"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0:L14" firstHeaderRow="1" firstDataRow="2" firstDataCol="1"/>
  <pivotFields count="8">
    <pivotField axis="axisCol" showAll="0">
      <items count="25">
        <item h="1" x="1"/>
        <item h="1" x="20"/>
        <item h="1" x="23"/>
        <item h="1" x="0"/>
        <item h="1" x="6"/>
        <item h="1" x="4"/>
        <item h="1" x="15"/>
        <item x="14"/>
        <item h="1" x="2"/>
        <item h="1" x="18"/>
        <item h="1" x="3"/>
        <item h="1" x="13"/>
        <item h="1" x="12"/>
        <item h="1" x="7"/>
        <item h="1" x="8"/>
        <item h="1" x="9"/>
        <item h="1" x="10"/>
        <item h="1" x="22"/>
        <item h="1" x="17"/>
        <item h="1" x="21"/>
        <item h="1" x="16"/>
        <item h="1" x="19"/>
        <item h="1" x="11"/>
        <item h="1" x="5"/>
        <item t="default"/>
      </items>
    </pivotField>
    <pivotField showAll="0"/>
    <pivotField showAll="0"/>
    <pivotField showAll="0"/>
    <pivotField dataField="1" showAll="0"/>
    <pivotField dataField="1" showAll="0"/>
    <pivotField dataField="1" showAll="0"/>
    <pivotField showAll="0"/>
  </pivotFields>
  <rowFields count="1">
    <field x="-2"/>
  </rowFields>
  <rowItems count="3">
    <i>
      <x/>
    </i>
    <i i="1">
      <x v="1"/>
    </i>
    <i i="2">
      <x v="2"/>
    </i>
  </rowItems>
  <colFields count="1">
    <field x="0"/>
  </colFields>
  <colItems count="2">
    <i>
      <x v="7"/>
    </i>
    <i t="grand">
      <x/>
    </i>
  </colItems>
  <dataFields count="3">
    <dataField name="Sum of Male electors" fld="4" baseField="0" baseItem="0"/>
    <dataField name="Sum of Female electors" fld="5" baseField="0" baseItem="0"/>
    <dataField name="Sum of Other gender electors" fld="6" baseField="0" baseItem="0"/>
  </dataFields>
  <chartFormats count="4">
    <chartFormat chart="11" format="19" series="1">
      <pivotArea type="data" outline="0" fieldPosition="0">
        <references count="2">
          <reference field="4294967294" count="1" selected="0">
            <x v="0"/>
          </reference>
          <reference field="0" count="1" selected="0">
            <x v="9"/>
          </reference>
        </references>
      </pivotArea>
    </chartFormat>
    <chartFormat chart="11" format="20" series="1">
      <pivotArea type="data" outline="0" fieldPosition="0">
        <references count="2">
          <reference field="4294967294" count="1" selected="0">
            <x v="0"/>
          </reference>
          <reference field="0" count="1" selected="0">
            <x v="10"/>
          </reference>
        </references>
      </pivotArea>
    </chartFormat>
    <chartFormat chart="11" format="21" series="1">
      <pivotArea type="data" outline="0" fieldPosition="0">
        <references count="2">
          <reference field="4294967294" count="1" selected="0">
            <x v="0"/>
          </reference>
          <reference field="0" count="1" selected="0">
            <x v="7"/>
          </reference>
        </references>
      </pivotArea>
    </chartFormat>
    <chartFormat chart="11" format="22" series="1">
      <pivotArea type="data" outline="0" fieldPosition="0">
        <references count="2">
          <reference field="4294967294" count="1" selected="0">
            <x v="0"/>
          </reference>
          <reference field="0"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4FBDA8-1BFB-4B52-BC55-6A6FCD5C5EF4}"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G10:H28" firstHeaderRow="1" firstDataRow="1" firstDataCol="1"/>
  <pivotFields count="8">
    <pivotField axis="axisRow" showAll="0">
      <items count="25">
        <item h="1" x="1"/>
        <item h="1" x="20"/>
        <item h="1" x="23"/>
        <item h="1" x="0"/>
        <item h="1" x="6"/>
        <item h="1" x="4"/>
        <item h="1" x="15"/>
        <item x="14"/>
        <item h="1" x="2"/>
        <item h="1" x="18"/>
        <item h="1" x="3"/>
        <item h="1" x="13"/>
        <item h="1" x="12"/>
        <item h="1" x="7"/>
        <item h="1" x="8"/>
        <item h="1" x="9"/>
        <item h="1" x="10"/>
        <item h="1" x="22"/>
        <item h="1" x="17"/>
        <item h="1" x="21"/>
        <item h="1" x="16"/>
        <item h="1" x="19"/>
        <item h="1" x="11"/>
        <item h="1" x="5"/>
        <item t="default"/>
      </items>
    </pivotField>
    <pivotField showAll="0"/>
    <pivotField axis="axisRow" showAll="0">
      <items count="294">
        <item x="11"/>
        <item x="101"/>
        <item x="180"/>
        <item x="199"/>
        <item x="278"/>
        <item x="279"/>
        <item x="100"/>
        <item x="271"/>
        <item x="98"/>
        <item x="93"/>
        <item x="239"/>
        <item x="179"/>
        <item x="71"/>
        <item x="53"/>
        <item x="190"/>
        <item x="238"/>
        <item x="168"/>
        <item x="160"/>
        <item x="38"/>
        <item x="237"/>
        <item x="95"/>
        <item x="94"/>
        <item x="251"/>
        <item x="281"/>
        <item x="112"/>
        <item x="118"/>
        <item x="252"/>
        <item x="107"/>
        <item x="139"/>
        <item x="136"/>
        <item x="127"/>
        <item x="123"/>
        <item x="124"/>
        <item x="153"/>
        <item x="152"/>
        <item x="70"/>
        <item x="163"/>
        <item x="158"/>
        <item x="61"/>
        <item x="213"/>
        <item x="147"/>
        <item x="68"/>
        <item x="265"/>
        <item x="104"/>
        <item x="115"/>
        <item x="102"/>
        <item x="236"/>
        <item x="145"/>
        <item x="284"/>
        <item x="155"/>
        <item x="258"/>
        <item x="264"/>
        <item x="66"/>
        <item x="137"/>
        <item x="138"/>
        <item x="90"/>
        <item x="30"/>
        <item x="186"/>
        <item x="44"/>
        <item x="188"/>
        <item x="210"/>
        <item x="193"/>
        <item x="231"/>
        <item x="81"/>
        <item x="247"/>
        <item x="27"/>
        <item x="161"/>
        <item x="189"/>
        <item x="3"/>
        <item x="2"/>
        <item x="18"/>
        <item x="218"/>
        <item x="22"/>
        <item x="229"/>
        <item x="228"/>
        <item x="119"/>
        <item x="196"/>
        <item x="14"/>
        <item x="142"/>
        <item x="6"/>
        <item x="183"/>
        <item x="74"/>
        <item x="282"/>
        <item x="113"/>
        <item x="109"/>
        <item x="275"/>
        <item x="274"/>
        <item x="217"/>
        <item x="50"/>
        <item x="162"/>
        <item x="12"/>
        <item x="143"/>
        <item x="54"/>
        <item x="96"/>
        <item x="272"/>
        <item x="40"/>
        <item x="232"/>
        <item x="43"/>
        <item x="230"/>
        <item x="29"/>
        <item x="200"/>
        <item x="220"/>
        <item x="126"/>
        <item x="42"/>
        <item x="99"/>
        <item x="208"/>
        <item x="290"/>
        <item x="72"/>
        <item x="92"/>
        <item x="195"/>
        <item x="41"/>
        <item x="45"/>
        <item x="120"/>
        <item x="32"/>
        <item x="125"/>
        <item x="172"/>
        <item x="170"/>
        <item x="169"/>
        <item x="255"/>
        <item x="28"/>
        <item x="35"/>
        <item x="149"/>
        <item x="182"/>
        <item x="105"/>
        <item x="75"/>
        <item x="16"/>
        <item x="260"/>
        <item x="277"/>
        <item x="194"/>
        <item x="57"/>
        <item x="221"/>
        <item x="164"/>
        <item x="135"/>
        <item x="240"/>
        <item x="130"/>
        <item x="10"/>
        <item x="33"/>
        <item x="79"/>
        <item x="21"/>
        <item x="262"/>
        <item x="91"/>
        <item x="111"/>
        <item x="67"/>
        <item x="215"/>
        <item x="212"/>
        <item x="31"/>
        <item x="76"/>
        <item x="148"/>
        <item x="243"/>
        <item x="167"/>
        <item x="254"/>
        <item x="268"/>
        <item x="222"/>
        <item x="234"/>
        <item x="269"/>
        <item x="201"/>
        <item x="257"/>
        <item x="227"/>
        <item x="223"/>
        <item x="108"/>
        <item x="65"/>
        <item x="214"/>
        <item x="157"/>
        <item x="87"/>
        <item x="84"/>
        <item x="82"/>
        <item x="132"/>
        <item x="128"/>
        <item x="280"/>
        <item x="37"/>
        <item x="9"/>
        <item x="23"/>
        <item x="36"/>
        <item x="286"/>
        <item x="60"/>
        <item x="13"/>
        <item x="117"/>
        <item x="141"/>
        <item x="140"/>
        <item x="154"/>
        <item x="207"/>
        <item x="19"/>
        <item x="46"/>
        <item x="49"/>
        <item x="242"/>
        <item x="134"/>
        <item x="48"/>
        <item x="166"/>
        <item x="1"/>
        <item x="24"/>
        <item x="15"/>
        <item x="288"/>
        <item x="235"/>
        <item x="0"/>
        <item x="263"/>
        <item x="156"/>
        <item x="121"/>
        <item x="270"/>
        <item x="261"/>
        <item x="51"/>
        <item x="205"/>
        <item x="292"/>
        <item x="63"/>
        <item x="83"/>
        <item x="64"/>
        <item x="20"/>
        <item x="103"/>
        <item x="80"/>
        <item x="291"/>
        <item x="206"/>
        <item x="209"/>
        <item x="285"/>
        <item x="73"/>
        <item x="224"/>
        <item x="7"/>
        <item x="219"/>
        <item x="106"/>
        <item x="253"/>
        <item x="78"/>
        <item x="174"/>
        <item x="273"/>
        <item x="191"/>
        <item x="110"/>
        <item x="204"/>
        <item x="203"/>
        <item x="244"/>
        <item x="211"/>
        <item x="129"/>
        <item x="26"/>
        <item x="226"/>
        <item x="266"/>
        <item x="267"/>
        <item x="198"/>
        <item x="241"/>
        <item x="58"/>
        <item x="245"/>
        <item x="133"/>
        <item x="34"/>
        <item x="259"/>
        <item x="249"/>
        <item x="116"/>
        <item x="114"/>
        <item x="17"/>
        <item x="216"/>
        <item x="289"/>
        <item x="89"/>
        <item x="86"/>
        <item x="88"/>
        <item x="248"/>
        <item x="276"/>
        <item x="62"/>
        <item x="159"/>
        <item x="47"/>
        <item x="69"/>
        <item x="225"/>
        <item x="131"/>
        <item x="59"/>
        <item x="287"/>
        <item x="233"/>
        <item x="246"/>
        <item x="55"/>
        <item x="122"/>
        <item x="173"/>
        <item x="85"/>
        <item x="192"/>
        <item x="144"/>
        <item x="171"/>
        <item x="165"/>
        <item x="178"/>
        <item x="25"/>
        <item x="187"/>
        <item x="5"/>
        <item x="4"/>
        <item x="256"/>
        <item x="146"/>
        <item x="150"/>
        <item x="185"/>
        <item x="52"/>
        <item x="283"/>
        <item x="56"/>
        <item x="97"/>
        <item x="250"/>
        <item x="202"/>
        <item x="39"/>
        <item x="197"/>
        <item x="77"/>
        <item x="151"/>
        <item x="8"/>
        <item x="181"/>
        <item x="177"/>
        <item x="175"/>
        <item x="176"/>
        <item x="184"/>
        <item t="default"/>
      </items>
    </pivotField>
    <pivotField dataField="1" showAll="0"/>
    <pivotField showAll="0"/>
    <pivotField showAll="0"/>
    <pivotField showAll="0"/>
    <pivotField showAll="0"/>
  </pivotFields>
  <rowFields count="2">
    <field x="0"/>
    <field x="2"/>
  </rowFields>
  <rowItems count="18">
    <i>
      <x v="7"/>
    </i>
    <i r="1">
      <x v="2"/>
    </i>
    <i r="1">
      <x v="11"/>
    </i>
    <i r="1">
      <x v="16"/>
    </i>
    <i r="1">
      <x v="80"/>
    </i>
    <i r="1">
      <x v="115"/>
    </i>
    <i r="1">
      <x v="116"/>
    </i>
    <i r="1">
      <x v="117"/>
    </i>
    <i r="1">
      <x v="122"/>
    </i>
    <i r="1">
      <x v="219"/>
    </i>
    <i r="1">
      <x v="262"/>
    </i>
    <i r="1">
      <x v="266"/>
    </i>
    <i r="1">
      <x v="268"/>
    </i>
    <i r="1">
      <x v="288"/>
    </i>
    <i r="1">
      <x v="289"/>
    </i>
    <i r="1">
      <x v="290"/>
    </i>
    <i r="1">
      <x v="291"/>
    </i>
    <i t="grand">
      <x/>
    </i>
  </rowItems>
  <colItems count="1">
    <i/>
  </colItems>
  <dataFields count="1">
    <dataField name="Sum of No of polling station" fld="3" baseField="0" baseItem="0"/>
  </dataFields>
  <chartFormats count="8">
    <chartFormat chart="6" format="3"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35" format="3" series="1">
      <pivotArea type="data" outline="0" fieldPosition="0">
        <references count="1">
          <reference field="4294967294" count="1" selected="0">
            <x v="0"/>
          </reference>
        </references>
      </pivotArea>
    </chartFormat>
    <chartFormat chart="36" format="4" series="1">
      <pivotArea type="data" outline="0" fieldPosition="0">
        <references count="1">
          <reference field="4294967294" count="1" selected="0">
            <x v="0"/>
          </reference>
        </references>
      </pivotArea>
    </chartFormat>
    <chartFormat chart="37" format="4" series="1">
      <pivotArea type="data" outline="0" fieldPosition="0">
        <references count="1">
          <reference field="4294967294" count="1" selected="0">
            <x v="0"/>
          </reference>
        </references>
      </pivotArea>
    </chartFormat>
    <chartFormat chart="4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8716B0-7B62-456F-898E-037986D9C885}"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2">
  <location ref="A1:D26" firstHeaderRow="0" firstDataRow="1" firstDataCol="1"/>
  <pivotFields count="8">
    <pivotField axis="axisRow" showAll="0">
      <items count="25">
        <item x="1"/>
        <item x="20"/>
        <item x="23"/>
        <item x="0"/>
        <item x="6"/>
        <item x="4"/>
        <item x="15"/>
        <item x="14"/>
        <item x="2"/>
        <item x="18"/>
        <item x="3"/>
        <item x="13"/>
        <item x="12"/>
        <item x="7"/>
        <item x="8"/>
        <item x="9"/>
        <item x="10"/>
        <item x="22"/>
        <item x="17"/>
        <item x="21"/>
        <item x="16"/>
        <item x="19"/>
        <item x="11"/>
        <item x="5"/>
        <item t="default"/>
      </items>
    </pivotField>
    <pivotField showAll="0"/>
    <pivotField showAll="0"/>
    <pivotField showAll="0"/>
    <pivotField dataField="1" showAll="0"/>
    <pivotField dataField="1" showAll="0"/>
    <pivotField dataField="1" showAll="0"/>
    <pivotField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Fields count="1">
    <field x="-2"/>
  </colFields>
  <colItems count="3">
    <i>
      <x/>
    </i>
    <i i="1">
      <x v="1"/>
    </i>
    <i i="2">
      <x v="2"/>
    </i>
  </colItems>
  <dataFields count="3">
    <dataField name="Sum of Male electors" fld="4" baseField="0" baseItem="0"/>
    <dataField name="Sum of Female electors" fld="5" baseField="0" baseItem="0"/>
    <dataField name="Sum of Other gender electors" fld="6" baseField="0" baseItem="0"/>
  </dataFields>
  <chartFormats count="6">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1" format="2" series="1">
      <pivotArea type="data" outline="0" fieldPosition="0">
        <references count="1">
          <reference field="4294967294" count="1" selected="0">
            <x v="2"/>
          </reference>
        </references>
      </pivotArea>
    </chartFormat>
    <chartFormat chart="51" format="5" series="1">
      <pivotArea type="data" outline="0" fieldPosition="0">
        <references count="1">
          <reference field="4294967294" count="1" selected="0">
            <x v="0"/>
          </reference>
        </references>
      </pivotArea>
    </chartFormat>
    <chartFormat chart="51" format="6" series="1">
      <pivotArea type="data" outline="0" fieldPosition="0">
        <references count="1">
          <reference field="4294967294" count="1" selected="0">
            <x v="1"/>
          </reference>
        </references>
      </pivotArea>
    </chartFormat>
    <chartFormat chart="51" format="7"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2D376-CB7A-4173-84FC-68748CEDA8B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7:K18" firstHeaderRow="1" firstDataRow="1" firstDataCol="0"/>
  <pivotFields count="8">
    <pivotField showAll="0"/>
    <pivotField showAll="0"/>
    <pivotField showAll="0"/>
    <pivotField showAll="0"/>
    <pivotField showAll="0"/>
    <pivotField showAll="0"/>
    <pivotField dataField="1" showAll="0"/>
    <pivotField showAll="0"/>
  </pivotFields>
  <rowItems count="1">
    <i/>
  </rowItems>
  <colItems count="1">
    <i/>
  </colItems>
  <dataFields count="1">
    <dataField name="Sum of Other gender electors" fld="6" baseField="0" baseItem="0"/>
  </dataFields>
  <formats count="1">
    <format dxfId="1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01C317-D009-4DA8-BBBA-FFE71A062A39}"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7:H8" firstHeaderRow="1" firstDataRow="1" firstDataCol="0"/>
  <pivotFields count="8">
    <pivotField showAll="0"/>
    <pivotField showAll="0"/>
    <pivotField showAll="0"/>
    <pivotField showAll="0"/>
    <pivotField showAll="0"/>
    <pivotField dataField="1" showAll="0"/>
    <pivotField showAll="0"/>
    <pivotField showAll="0"/>
  </pivotFields>
  <rowItems count="1">
    <i/>
  </rowItems>
  <colItems count="1">
    <i/>
  </colItems>
  <dataFields count="1">
    <dataField name="Sum of Female elector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86C5977-0EC4-4D9C-A799-348A5FD9BE2F}"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8">
    <pivotField showAll="0"/>
    <pivotField showAll="0"/>
    <pivotField showAll="0"/>
    <pivotField showAll="0"/>
    <pivotField dataField="1" showAll="0"/>
    <pivotField showAll="0"/>
    <pivotField showAll="0"/>
    <pivotField showAll="0"/>
  </pivotFields>
  <rowItems count="1">
    <i/>
  </rowItems>
  <colItems count="1">
    <i/>
  </colItems>
  <dataFields count="1">
    <dataField name="Sum of Male elector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C072B6-F05E-4972-9ED1-85BD9A9FDFBA}"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8:B9" firstHeaderRow="1" firstDataRow="1" firstDataCol="0"/>
  <pivotFields count="8">
    <pivotField showAll="0"/>
    <pivotField showAll="0"/>
    <pivotField showAll="0"/>
    <pivotField showAll="0"/>
    <pivotField showAll="0"/>
    <pivotField showAll="0"/>
    <pivotField showAll="0"/>
    <pivotField dataField="1" showAll="0"/>
  </pivotFields>
  <rowItems count="1">
    <i/>
  </rowItems>
  <colItems count="1">
    <i/>
  </colItems>
  <dataFields count="1">
    <dataField name="Sum of Total elector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5FDDA7B-B6D1-4221-981B-CE5332A8992D}"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3:B14" firstHeaderRow="1" firstDataRow="1" firstDataCol="0"/>
  <pivotFields count="8">
    <pivotField showAll="0">
      <items count="25">
        <item h="1" x="1"/>
        <item h="1" x="20"/>
        <item h="1" x="23"/>
        <item h="1" x="0"/>
        <item h="1" x="6"/>
        <item h="1" x="4"/>
        <item h="1" x="15"/>
        <item x="14"/>
        <item h="1" x="2"/>
        <item h="1" x="18"/>
        <item h="1" x="3"/>
        <item h="1" x="13"/>
        <item h="1" x="12"/>
        <item h="1" x="7"/>
        <item h="1" x="8"/>
        <item h="1" x="9"/>
        <item h="1" x="10"/>
        <item h="1" x="22"/>
        <item h="1" x="17"/>
        <item h="1" x="21"/>
        <item h="1" x="16"/>
        <item h="1" x="19"/>
        <item h="1" x="11"/>
        <item h="1" x="5"/>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Sum of No of polling station"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District" xr10:uid="{5ADDB56E-E72F-4664-A3C2-39AED92195F4}" sourceName="Name of District">
  <pivotTables>
    <pivotTable tabId="2" name="PivotTable6"/>
    <pivotTable tabId="2" name="PivotTable2"/>
    <pivotTable tabId="2" name="PivotTable3"/>
    <pivotTable tabId="3" name="PivotTable5"/>
  </pivotTables>
  <data>
    <tabular pivotCacheId="1888970527">
      <items count="24">
        <i x="1"/>
        <i x="20"/>
        <i x="23"/>
        <i x="0"/>
        <i x="6"/>
        <i x="4"/>
        <i x="15"/>
        <i x="14" s="1"/>
        <i x="2"/>
        <i x="18"/>
        <i x="3"/>
        <i x="13"/>
        <i x="12"/>
        <i x="7"/>
        <i x="8"/>
        <i x="9"/>
        <i x="10"/>
        <i x="22"/>
        <i x="17"/>
        <i x="21"/>
        <i x="16"/>
        <i x="19"/>
        <i x="11"/>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Name of District" xr10:uid="{2E19755F-0672-4FB9-8098-1A6D0022F083}" cache="Slicer_Name_of_District" caption="Name of District" startItem="7"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509E33-3CBF-43D9-8E8C-0C3B458EA1ED}" name="Table1" displayName="Table1" ref="A1:H296" totalsRowShown="0" headerRowDxfId="0" headerRowBorderDxfId="10" tableBorderDxfId="11" totalsRowBorderDxfId="9">
  <autoFilter ref="A1:H296" xr:uid="{F2509E33-3CBF-43D9-8E8C-0C3B458EA1ED}"/>
  <tableColumns count="8">
    <tableColumn id="1" xr3:uid="{8B603164-0E7C-4E10-8FC6-FC14EF220939}" name="Name of District" dataDxfId="8"/>
    <tableColumn id="2" xr3:uid="{FF14076B-EC34-4DA1-991D-ACC1DC5F1C19}" name="AC NO" dataDxfId="7"/>
    <tableColumn id="3" xr3:uid="{4674C622-6573-47C0-AD6A-1E2E5079B717}" name="AC name" dataDxfId="6"/>
    <tableColumn id="4" xr3:uid="{8BB5D325-A60E-4F31-9C18-5E5080C5C5B0}" name="No of polling station" dataDxfId="5"/>
    <tableColumn id="5" xr3:uid="{21F04438-1F1C-491C-827D-46842632FA39}" name="Male electors" dataDxfId="4"/>
    <tableColumn id="6" xr3:uid="{C6F5F4F1-50CB-4B9A-BCFE-0FF3470729DB}" name="Female electors" dataDxfId="3"/>
    <tableColumn id="7" xr3:uid="{75B9E103-8141-48C4-99C9-6EAB917B62B6}" name="Other gender electors" dataDxfId="2"/>
    <tableColumn id="8" xr3:uid="{8A03C9C0-3ED0-4D2C-B896-1F2AAB92424A}" name="Total electors"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0FDCD-C5F7-4A2C-8AB7-AE28D6DFB6FB}">
  <dimension ref="A1:H296"/>
  <sheetViews>
    <sheetView workbookViewId="0">
      <selection activeCell="K13" sqref="K13"/>
    </sheetView>
  </sheetViews>
  <sheetFormatPr defaultRowHeight="14.4" x14ac:dyDescent="0.3"/>
  <cols>
    <col min="1" max="1" width="20.21875" bestFit="1" customWidth="1"/>
    <col min="2" max="2" width="8.33203125" customWidth="1"/>
    <col min="3" max="3" width="20.77734375" bestFit="1" customWidth="1"/>
    <col min="4" max="4" width="19.88671875" customWidth="1"/>
    <col min="5" max="5" width="14.109375" customWidth="1"/>
    <col min="6" max="6" width="15.88671875" customWidth="1"/>
    <col min="7" max="7" width="21" customWidth="1"/>
    <col min="8" max="8" width="14.109375" customWidth="1"/>
    <col min="11" max="11" width="12.6640625" bestFit="1" customWidth="1"/>
  </cols>
  <sheetData>
    <row r="1" spans="1:8" x14ac:dyDescent="0.3">
      <c r="A1" s="8" t="s">
        <v>0</v>
      </c>
      <c r="B1" s="9" t="s">
        <v>1</v>
      </c>
      <c r="C1" s="9" t="s">
        <v>2</v>
      </c>
      <c r="D1" s="9" t="s">
        <v>3</v>
      </c>
      <c r="E1" s="9" t="s">
        <v>4</v>
      </c>
      <c r="F1" s="9" t="s">
        <v>5</v>
      </c>
      <c r="G1" s="9" t="s">
        <v>6</v>
      </c>
      <c r="H1" s="10" t="s">
        <v>7</v>
      </c>
    </row>
    <row r="2" spans="1:8" x14ac:dyDescent="0.3">
      <c r="A2" s="6" t="s">
        <v>8</v>
      </c>
      <c r="B2" s="1">
        <v>1</v>
      </c>
      <c r="C2" s="1" t="s">
        <v>9</v>
      </c>
      <c r="D2" s="1">
        <v>239</v>
      </c>
      <c r="E2" s="1">
        <v>119553</v>
      </c>
      <c r="F2" s="1">
        <v>112317</v>
      </c>
      <c r="G2" s="1">
        <v>3</v>
      </c>
      <c r="H2" s="7">
        <v>231873</v>
      </c>
    </row>
    <row r="3" spans="1:8" x14ac:dyDescent="0.3">
      <c r="A3" s="6" t="s">
        <v>8</v>
      </c>
      <c r="B3" s="1">
        <v>2</v>
      </c>
      <c r="C3" s="1" t="s">
        <v>10</v>
      </c>
      <c r="D3" s="1">
        <v>276</v>
      </c>
      <c r="E3" s="1">
        <v>134478</v>
      </c>
      <c r="F3" s="1">
        <v>123989</v>
      </c>
      <c r="G3" s="1">
        <v>1</v>
      </c>
      <c r="H3" s="7">
        <v>258468</v>
      </c>
    </row>
    <row r="4" spans="1:8" x14ac:dyDescent="0.3">
      <c r="A4" s="6" t="s">
        <v>8</v>
      </c>
      <c r="B4" s="1">
        <v>3</v>
      </c>
      <c r="C4" s="1" t="s">
        <v>11</v>
      </c>
      <c r="D4" s="1">
        <v>307</v>
      </c>
      <c r="E4" s="1">
        <v>146356</v>
      </c>
      <c r="F4" s="1">
        <v>135240</v>
      </c>
      <c r="G4" s="1">
        <v>1</v>
      </c>
      <c r="H4" s="7">
        <v>281597</v>
      </c>
    </row>
    <row r="5" spans="1:8" x14ac:dyDescent="0.3">
      <c r="A5" s="6" t="s">
        <v>8</v>
      </c>
      <c r="B5" s="1">
        <v>4</v>
      </c>
      <c r="C5" s="1" t="s">
        <v>12</v>
      </c>
      <c r="D5" s="1">
        <v>258</v>
      </c>
      <c r="E5" s="1">
        <v>119979</v>
      </c>
      <c r="F5" s="1">
        <v>112721</v>
      </c>
      <c r="G5" s="1">
        <v>4</v>
      </c>
      <c r="H5" s="7">
        <v>232704</v>
      </c>
    </row>
    <row r="6" spans="1:8" x14ac:dyDescent="0.3">
      <c r="A6" s="6" t="s">
        <v>8</v>
      </c>
      <c r="B6" s="1">
        <v>5</v>
      </c>
      <c r="C6" s="1" t="s">
        <v>13</v>
      </c>
      <c r="D6" s="1">
        <v>310</v>
      </c>
      <c r="E6" s="1">
        <v>157007</v>
      </c>
      <c r="F6" s="1">
        <v>141699</v>
      </c>
      <c r="G6" s="1">
        <v>3</v>
      </c>
      <c r="H6" s="7">
        <v>298709</v>
      </c>
    </row>
    <row r="7" spans="1:8" x14ac:dyDescent="0.3">
      <c r="A7" s="6" t="s">
        <v>8</v>
      </c>
      <c r="B7" s="1">
        <v>6</v>
      </c>
      <c r="C7" s="1" t="s">
        <v>14</v>
      </c>
      <c r="D7" s="1">
        <v>300</v>
      </c>
      <c r="E7" s="1">
        <v>152548</v>
      </c>
      <c r="F7" s="1">
        <v>138873</v>
      </c>
      <c r="G7" s="1">
        <v>0</v>
      </c>
      <c r="H7" s="7">
        <v>291421</v>
      </c>
    </row>
    <row r="8" spans="1:8" x14ac:dyDescent="0.3">
      <c r="A8" s="6" t="s">
        <v>8</v>
      </c>
      <c r="B8" s="1">
        <v>7</v>
      </c>
      <c r="C8" s="1" t="s">
        <v>15</v>
      </c>
      <c r="D8" s="1">
        <v>318</v>
      </c>
      <c r="E8" s="1">
        <v>150678</v>
      </c>
      <c r="F8" s="1">
        <v>141700</v>
      </c>
      <c r="G8" s="1">
        <v>0</v>
      </c>
      <c r="H8" s="7">
        <v>292378</v>
      </c>
    </row>
    <row r="9" spans="1:8" x14ac:dyDescent="0.3">
      <c r="A9" s="6" t="s">
        <v>8</v>
      </c>
      <c r="B9" s="1">
        <v>8</v>
      </c>
      <c r="C9" s="1" t="s">
        <v>16</v>
      </c>
      <c r="D9" s="1">
        <v>274</v>
      </c>
      <c r="E9" s="1">
        <v>127611</v>
      </c>
      <c r="F9" s="1">
        <v>121230</v>
      </c>
      <c r="G9" s="1">
        <v>9</v>
      </c>
      <c r="H9" s="7">
        <v>248850</v>
      </c>
    </row>
    <row r="10" spans="1:8" x14ac:dyDescent="0.3">
      <c r="A10" s="6" t="s">
        <v>8</v>
      </c>
      <c r="B10" s="1">
        <v>9</v>
      </c>
      <c r="C10" s="1" t="s">
        <v>17</v>
      </c>
      <c r="D10" s="1">
        <v>255</v>
      </c>
      <c r="E10" s="1">
        <v>123940</v>
      </c>
      <c r="F10" s="1">
        <v>117478</v>
      </c>
      <c r="G10" s="1">
        <v>1</v>
      </c>
      <c r="H10" s="7">
        <v>241419</v>
      </c>
    </row>
    <row r="11" spans="1:8" x14ac:dyDescent="0.3">
      <c r="A11" s="6" t="s">
        <v>18</v>
      </c>
      <c r="B11" s="1">
        <v>10</v>
      </c>
      <c r="C11" s="1" t="s">
        <v>19</v>
      </c>
      <c r="D11" s="1">
        <v>302</v>
      </c>
      <c r="E11" s="1">
        <v>138874</v>
      </c>
      <c r="F11" s="1">
        <v>130343</v>
      </c>
      <c r="G11" s="1">
        <v>2</v>
      </c>
      <c r="H11" s="7">
        <v>269219</v>
      </c>
    </row>
    <row r="12" spans="1:8" x14ac:dyDescent="0.3">
      <c r="A12" s="6" t="s">
        <v>18</v>
      </c>
      <c r="B12" s="1">
        <v>11</v>
      </c>
      <c r="C12" s="1" t="s">
        <v>20</v>
      </c>
      <c r="D12" s="1">
        <v>275</v>
      </c>
      <c r="E12" s="1">
        <v>115772</v>
      </c>
      <c r="F12" s="1">
        <v>118486</v>
      </c>
      <c r="G12" s="1">
        <v>2</v>
      </c>
      <c r="H12" s="7">
        <v>234260</v>
      </c>
    </row>
    <row r="13" spans="1:8" x14ac:dyDescent="0.3">
      <c r="A13" s="6" t="s">
        <v>18</v>
      </c>
      <c r="B13" s="1">
        <v>12</v>
      </c>
      <c r="C13" s="1" t="s">
        <v>21</v>
      </c>
      <c r="D13" s="1">
        <v>278</v>
      </c>
      <c r="E13" s="1">
        <v>127036</v>
      </c>
      <c r="F13" s="1">
        <v>122803</v>
      </c>
      <c r="G13" s="1">
        <v>7</v>
      </c>
      <c r="H13" s="7">
        <v>249846</v>
      </c>
    </row>
    <row r="14" spans="1:8" x14ac:dyDescent="0.3">
      <c r="A14" s="6" t="s">
        <v>18</v>
      </c>
      <c r="B14" s="1">
        <v>13</v>
      </c>
      <c r="C14" s="1" t="s">
        <v>22</v>
      </c>
      <c r="D14" s="1">
        <v>269</v>
      </c>
      <c r="E14" s="1">
        <v>129018</v>
      </c>
      <c r="F14" s="1">
        <v>121940</v>
      </c>
      <c r="G14" s="1">
        <v>5</v>
      </c>
      <c r="H14" s="7">
        <v>250963</v>
      </c>
    </row>
    <row r="15" spans="1:8" x14ac:dyDescent="0.3">
      <c r="A15" s="6" t="s">
        <v>18</v>
      </c>
      <c r="B15" s="1">
        <v>14</v>
      </c>
      <c r="C15" s="1" t="s">
        <v>23</v>
      </c>
      <c r="D15" s="1">
        <v>226</v>
      </c>
      <c r="E15" s="1">
        <v>98918</v>
      </c>
      <c r="F15" s="1">
        <v>100990</v>
      </c>
      <c r="G15" s="1">
        <v>4</v>
      </c>
      <c r="H15" s="7">
        <v>199912</v>
      </c>
    </row>
    <row r="16" spans="1:8" x14ac:dyDescent="0.3">
      <c r="A16" s="6" t="s">
        <v>24</v>
      </c>
      <c r="B16" s="1">
        <v>15</v>
      </c>
      <c r="C16" s="1" t="s">
        <v>25</v>
      </c>
      <c r="D16" s="1">
        <v>263</v>
      </c>
      <c r="E16" s="1">
        <v>134272</v>
      </c>
      <c r="F16" s="1">
        <v>126572</v>
      </c>
      <c r="G16" s="1">
        <v>9</v>
      </c>
      <c r="H16" s="7">
        <v>260853</v>
      </c>
    </row>
    <row r="17" spans="1:8" x14ac:dyDescent="0.3">
      <c r="A17" s="6" t="s">
        <v>24</v>
      </c>
      <c r="B17" s="1">
        <v>16</v>
      </c>
      <c r="C17" s="1" t="s">
        <v>26</v>
      </c>
      <c r="D17" s="1">
        <v>276</v>
      </c>
      <c r="E17" s="1">
        <v>137872</v>
      </c>
      <c r="F17" s="1">
        <v>128457</v>
      </c>
      <c r="G17" s="1">
        <v>0</v>
      </c>
      <c r="H17" s="7">
        <v>266329</v>
      </c>
    </row>
    <row r="18" spans="1:8" x14ac:dyDescent="0.3">
      <c r="A18" s="6" t="s">
        <v>24</v>
      </c>
      <c r="B18" s="1">
        <v>17</v>
      </c>
      <c r="C18" s="1" t="s">
        <v>27</v>
      </c>
      <c r="D18" s="1">
        <v>283</v>
      </c>
      <c r="E18" s="1">
        <v>128990</v>
      </c>
      <c r="F18" s="1">
        <v>126622</v>
      </c>
      <c r="G18" s="1">
        <v>4</v>
      </c>
      <c r="H18" s="7">
        <v>255616</v>
      </c>
    </row>
    <row r="19" spans="1:8" x14ac:dyDescent="0.3">
      <c r="A19" s="6" t="s">
        <v>24</v>
      </c>
      <c r="B19" s="1">
        <v>18</v>
      </c>
      <c r="C19" s="1" t="s">
        <v>28</v>
      </c>
      <c r="D19" s="1">
        <v>261</v>
      </c>
      <c r="E19" s="1">
        <v>124511</v>
      </c>
      <c r="F19" s="1">
        <v>117048</v>
      </c>
      <c r="G19" s="1">
        <v>1</v>
      </c>
      <c r="H19" s="7">
        <v>241560</v>
      </c>
    </row>
    <row r="20" spans="1:8" x14ac:dyDescent="0.3">
      <c r="A20" s="6" t="s">
        <v>24</v>
      </c>
      <c r="B20" s="1">
        <v>19</v>
      </c>
      <c r="C20" s="1" t="s">
        <v>29</v>
      </c>
      <c r="D20" s="1">
        <v>314</v>
      </c>
      <c r="E20" s="1">
        <v>144803</v>
      </c>
      <c r="F20" s="1">
        <v>142221</v>
      </c>
      <c r="G20" s="1">
        <v>6</v>
      </c>
      <c r="H20" s="7">
        <v>287030</v>
      </c>
    </row>
    <row r="21" spans="1:8" x14ac:dyDescent="0.3">
      <c r="A21" s="6" t="s">
        <v>24</v>
      </c>
      <c r="B21" s="1">
        <v>20</v>
      </c>
      <c r="C21" s="1" t="s">
        <v>30</v>
      </c>
      <c r="D21" s="1">
        <v>271</v>
      </c>
      <c r="E21" s="1">
        <v>122869</v>
      </c>
      <c r="F21" s="1">
        <v>122336</v>
      </c>
      <c r="G21" s="1">
        <v>0</v>
      </c>
      <c r="H21" s="7">
        <v>245205</v>
      </c>
    </row>
    <row r="22" spans="1:8" x14ac:dyDescent="0.3">
      <c r="A22" s="6" t="s">
        <v>24</v>
      </c>
      <c r="B22" s="1">
        <v>21</v>
      </c>
      <c r="C22" s="1" t="s">
        <v>31</v>
      </c>
      <c r="D22" s="1">
        <v>260</v>
      </c>
      <c r="E22" s="1">
        <v>109823</v>
      </c>
      <c r="F22" s="1">
        <v>114497</v>
      </c>
      <c r="G22" s="1">
        <v>2</v>
      </c>
      <c r="H22" s="7">
        <v>224322</v>
      </c>
    </row>
    <row r="23" spans="1:8" x14ac:dyDescent="0.3">
      <c r="A23" s="6" t="s">
        <v>32</v>
      </c>
      <c r="B23" s="1">
        <v>22</v>
      </c>
      <c r="C23" s="1" t="s">
        <v>32</v>
      </c>
      <c r="D23" s="1">
        <v>293</v>
      </c>
      <c r="E23" s="1">
        <v>101506</v>
      </c>
      <c r="F23" s="1">
        <v>102025</v>
      </c>
      <c r="G23" s="1">
        <v>0</v>
      </c>
      <c r="H23" s="7">
        <v>203531</v>
      </c>
    </row>
    <row r="24" spans="1:8" x14ac:dyDescent="0.3">
      <c r="A24" s="6" t="s">
        <v>33</v>
      </c>
      <c r="B24" s="1">
        <v>23</v>
      </c>
      <c r="C24" s="1" t="s">
        <v>34</v>
      </c>
      <c r="D24" s="1">
        <v>335</v>
      </c>
      <c r="E24" s="1">
        <v>108630</v>
      </c>
      <c r="F24" s="1">
        <v>110710</v>
      </c>
      <c r="G24" s="1">
        <v>2</v>
      </c>
      <c r="H24" s="7">
        <v>219342</v>
      </c>
    </row>
    <row r="25" spans="1:8" x14ac:dyDescent="0.3">
      <c r="A25" s="6" t="s">
        <v>33</v>
      </c>
      <c r="B25" s="1">
        <v>24</v>
      </c>
      <c r="C25" s="1" t="s">
        <v>35</v>
      </c>
      <c r="D25" s="1">
        <v>296</v>
      </c>
      <c r="E25" s="1">
        <v>109182</v>
      </c>
      <c r="F25" s="1">
        <v>113525</v>
      </c>
      <c r="G25" s="1">
        <v>3</v>
      </c>
      <c r="H25" s="7">
        <v>222710</v>
      </c>
    </row>
    <row r="26" spans="1:8" x14ac:dyDescent="0.3">
      <c r="A26" s="6" t="s">
        <v>33</v>
      </c>
      <c r="B26" s="1">
        <v>25</v>
      </c>
      <c r="C26" s="1" t="s">
        <v>36</v>
      </c>
      <c r="D26" s="1">
        <v>328</v>
      </c>
      <c r="E26" s="1">
        <v>141961</v>
      </c>
      <c r="F26" s="1">
        <v>143209</v>
      </c>
      <c r="G26" s="1">
        <v>4</v>
      </c>
      <c r="H26" s="7">
        <v>285174</v>
      </c>
    </row>
    <row r="27" spans="1:8" x14ac:dyDescent="0.3">
      <c r="A27" s="6" t="s">
        <v>33</v>
      </c>
      <c r="B27" s="1">
        <v>26</v>
      </c>
      <c r="C27" s="1" t="s">
        <v>37</v>
      </c>
      <c r="D27" s="1">
        <v>245</v>
      </c>
      <c r="E27" s="1">
        <v>103916</v>
      </c>
      <c r="F27" s="1">
        <v>104709</v>
      </c>
      <c r="G27" s="1">
        <v>18</v>
      </c>
      <c r="H27" s="7">
        <v>208643</v>
      </c>
    </row>
    <row r="28" spans="1:8" x14ac:dyDescent="0.3">
      <c r="A28" s="6" t="s">
        <v>33</v>
      </c>
      <c r="B28" s="1">
        <v>27</v>
      </c>
      <c r="C28" s="1" t="s">
        <v>38</v>
      </c>
      <c r="D28" s="1">
        <v>261</v>
      </c>
      <c r="E28" s="1">
        <v>119291</v>
      </c>
      <c r="F28" s="1">
        <v>115480</v>
      </c>
      <c r="G28" s="1">
        <v>3</v>
      </c>
      <c r="H28" s="7">
        <v>234774</v>
      </c>
    </row>
    <row r="29" spans="1:8" x14ac:dyDescent="0.3">
      <c r="A29" s="6" t="s">
        <v>39</v>
      </c>
      <c r="B29" s="1">
        <v>28</v>
      </c>
      <c r="C29" s="1" t="s">
        <v>40</v>
      </c>
      <c r="D29" s="1">
        <v>261</v>
      </c>
      <c r="E29" s="1">
        <v>133295</v>
      </c>
      <c r="F29" s="1">
        <v>114756</v>
      </c>
      <c r="G29" s="1">
        <v>5</v>
      </c>
      <c r="H29" s="7">
        <v>248056</v>
      </c>
    </row>
    <row r="30" spans="1:8" x14ac:dyDescent="0.3">
      <c r="A30" s="6" t="s">
        <v>39</v>
      </c>
      <c r="B30" s="1">
        <v>29</v>
      </c>
      <c r="C30" s="1" t="s">
        <v>41</v>
      </c>
      <c r="D30" s="1">
        <v>238</v>
      </c>
      <c r="E30" s="1">
        <v>115701</v>
      </c>
      <c r="F30" s="1">
        <v>101947</v>
      </c>
      <c r="G30" s="1">
        <v>9</v>
      </c>
      <c r="H30" s="7">
        <v>217657</v>
      </c>
    </row>
    <row r="31" spans="1:8" x14ac:dyDescent="0.3">
      <c r="A31" s="6" t="s">
        <v>39</v>
      </c>
      <c r="B31" s="1">
        <v>30</v>
      </c>
      <c r="C31" s="1" t="s">
        <v>42</v>
      </c>
      <c r="D31" s="1">
        <v>236</v>
      </c>
      <c r="E31" s="1">
        <v>122516</v>
      </c>
      <c r="F31" s="1">
        <v>108331</v>
      </c>
      <c r="G31" s="1">
        <v>5</v>
      </c>
      <c r="H31" s="7">
        <v>230852</v>
      </c>
    </row>
    <row r="32" spans="1:8" x14ac:dyDescent="0.3">
      <c r="A32" s="6" t="s">
        <v>39</v>
      </c>
      <c r="B32" s="1">
        <v>31</v>
      </c>
      <c r="C32" s="1" t="s">
        <v>43</v>
      </c>
      <c r="D32" s="1">
        <v>239</v>
      </c>
      <c r="E32" s="1">
        <v>121812</v>
      </c>
      <c r="F32" s="1">
        <v>107130</v>
      </c>
      <c r="G32" s="1">
        <v>3</v>
      </c>
      <c r="H32" s="7">
        <v>228945</v>
      </c>
    </row>
    <row r="33" spans="1:8" x14ac:dyDescent="0.3">
      <c r="A33" s="6" t="s">
        <v>39</v>
      </c>
      <c r="B33" s="1">
        <v>32</v>
      </c>
      <c r="C33" s="1" t="s">
        <v>44</v>
      </c>
      <c r="D33" s="1">
        <v>276</v>
      </c>
      <c r="E33" s="1">
        <v>137883</v>
      </c>
      <c r="F33" s="1">
        <v>122073</v>
      </c>
      <c r="G33" s="1">
        <v>6</v>
      </c>
      <c r="H33" s="7">
        <v>259962</v>
      </c>
    </row>
    <row r="34" spans="1:8" x14ac:dyDescent="0.3">
      <c r="A34" s="6" t="s">
        <v>39</v>
      </c>
      <c r="B34" s="1">
        <v>33</v>
      </c>
      <c r="C34" s="1" t="s">
        <v>45</v>
      </c>
      <c r="D34" s="1">
        <v>266</v>
      </c>
      <c r="E34" s="1">
        <v>140636</v>
      </c>
      <c r="F34" s="1">
        <v>124521</v>
      </c>
      <c r="G34" s="1">
        <v>5</v>
      </c>
      <c r="H34" s="7">
        <v>265162</v>
      </c>
    </row>
    <row r="35" spans="1:8" x14ac:dyDescent="0.3">
      <c r="A35" s="6" t="s">
        <v>39</v>
      </c>
      <c r="B35" s="1">
        <v>34</v>
      </c>
      <c r="C35" s="1" t="s">
        <v>46</v>
      </c>
      <c r="D35" s="1">
        <v>282</v>
      </c>
      <c r="E35" s="1">
        <v>145949</v>
      </c>
      <c r="F35" s="1">
        <v>133403</v>
      </c>
      <c r="G35" s="1">
        <v>13</v>
      </c>
      <c r="H35" s="7">
        <v>279365</v>
      </c>
    </row>
    <row r="36" spans="1:8" x14ac:dyDescent="0.3">
      <c r="A36" s="6" t="s">
        <v>39</v>
      </c>
      <c r="B36" s="1">
        <v>35</v>
      </c>
      <c r="C36" s="1" t="s">
        <v>47</v>
      </c>
      <c r="D36" s="1">
        <v>213</v>
      </c>
      <c r="E36" s="1">
        <v>96583</v>
      </c>
      <c r="F36" s="1">
        <v>92827</v>
      </c>
      <c r="G36" s="1">
        <v>17</v>
      </c>
      <c r="H36" s="7">
        <v>189427</v>
      </c>
    </row>
    <row r="37" spans="1:8" x14ac:dyDescent="0.3">
      <c r="A37" s="6" t="s">
        <v>39</v>
      </c>
      <c r="B37" s="1">
        <v>36</v>
      </c>
      <c r="C37" s="1" t="s">
        <v>48</v>
      </c>
      <c r="D37" s="1">
        <v>238</v>
      </c>
      <c r="E37" s="1">
        <v>119629</v>
      </c>
      <c r="F37" s="1">
        <v>110271</v>
      </c>
      <c r="G37" s="1">
        <v>7</v>
      </c>
      <c r="H37" s="7">
        <v>229907</v>
      </c>
    </row>
    <row r="38" spans="1:8" x14ac:dyDescent="0.3">
      <c r="A38" s="6" t="s">
        <v>49</v>
      </c>
      <c r="B38" s="1">
        <v>37</v>
      </c>
      <c r="C38" s="1" t="s">
        <v>50</v>
      </c>
      <c r="D38" s="1">
        <v>229</v>
      </c>
      <c r="E38" s="1">
        <v>115687</v>
      </c>
      <c r="F38" s="1">
        <v>104539</v>
      </c>
      <c r="G38" s="1">
        <v>4</v>
      </c>
      <c r="H38" s="7">
        <v>220230</v>
      </c>
    </row>
    <row r="39" spans="1:8" x14ac:dyDescent="0.3">
      <c r="A39" s="6" t="s">
        <v>49</v>
      </c>
      <c r="B39" s="1">
        <v>38</v>
      </c>
      <c r="C39" s="1" t="s">
        <v>51</v>
      </c>
      <c r="D39" s="1">
        <v>211</v>
      </c>
      <c r="E39" s="1">
        <v>104707</v>
      </c>
      <c r="F39" s="1">
        <v>97537</v>
      </c>
      <c r="G39" s="1">
        <v>4</v>
      </c>
      <c r="H39" s="7">
        <v>202248</v>
      </c>
    </row>
    <row r="40" spans="1:8" x14ac:dyDescent="0.3">
      <c r="A40" s="6" t="s">
        <v>49</v>
      </c>
      <c r="B40" s="1">
        <v>39</v>
      </c>
      <c r="C40" s="1" t="s">
        <v>52</v>
      </c>
      <c r="D40" s="1">
        <v>200</v>
      </c>
      <c r="E40" s="1">
        <v>87787</v>
      </c>
      <c r="F40" s="1">
        <v>86259</v>
      </c>
      <c r="G40" s="1">
        <v>14</v>
      </c>
      <c r="H40" s="7">
        <v>174060</v>
      </c>
    </row>
    <row r="41" spans="1:8" x14ac:dyDescent="0.3">
      <c r="A41" s="6" t="s">
        <v>49</v>
      </c>
      <c r="B41" s="1">
        <v>40</v>
      </c>
      <c r="C41" s="1" t="s">
        <v>53</v>
      </c>
      <c r="D41" s="1">
        <v>234</v>
      </c>
      <c r="E41" s="1">
        <v>108550</v>
      </c>
      <c r="F41" s="1">
        <v>103262</v>
      </c>
      <c r="G41" s="1">
        <v>3</v>
      </c>
      <c r="H41" s="7">
        <v>211815</v>
      </c>
    </row>
    <row r="42" spans="1:8" x14ac:dyDescent="0.3">
      <c r="A42" s="6" t="s">
        <v>49</v>
      </c>
      <c r="B42" s="1">
        <v>41</v>
      </c>
      <c r="C42" s="1" t="s">
        <v>54</v>
      </c>
      <c r="D42" s="1">
        <v>239</v>
      </c>
      <c r="E42" s="1">
        <v>111773</v>
      </c>
      <c r="F42" s="1">
        <v>104630</v>
      </c>
      <c r="G42" s="1">
        <v>11</v>
      </c>
      <c r="H42" s="7">
        <v>216414</v>
      </c>
    </row>
    <row r="43" spans="1:8" x14ac:dyDescent="0.3">
      <c r="A43" s="6" t="s">
        <v>49</v>
      </c>
      <c r="B43" s="1">
        <v>42</v>
      </c>
      <c r="C43" s="1" t="s">
        <v>55</v>
      </c>
      <c r="D43" s="1">
        <v>230</v>
      </c>
      <c r="E43" s="1">
        <v>115783</v>
      </c>
      <c r="F43" s="1">
        <v>110003</v>
      </c>
      <c r="G43" s="1">
        <v>11</v>
      </c>
      <c r="H43" s="7">
        <v>225797</v>
      </c>
    </row>
    <row r="44" spans="1:8" x14ac:dyDescent="0.3">
      <c r="A44" s="6" t="s">
        <v>56</v>
      </c>
      <c r="B44" s="1">
        <v>43</v>
      </c>
      <c r="C44" s="1" t="s">
        <v>57</v>
      </c>
      <c r="D44" s="1">
        <v>252</v>
      </c>
      <c r="E44" s="1">
        <v>123458</v>
      </c>
      <c r="F44" s="1">
        <v>119489</v>
      </c>
      <c r="G44" s="1">
        <v>5</v>
      </c>
      <c r="H44" s="7">
        <v>242952</v>
      </c>
    </row>
    <row r="45" spans="1:8" x14ac:dyDescent="0.3">
      <c r="A45" s="6" t="s">
        <v>56</v>
      </c>
      <c r="B45" s="1">
        <v>44</v>
      </c>
      <c r="C45" s="1" t="s">
        <v>58</v>
      </c>
      <c r="D45" s="1">
        <v>273</v>
      </c>
      <c r="E45" s="1">
        <v>135506</v>
      </c>
      <c r="F45" s="1">
        <v>130716</v>
      </c>
      <c r="G45" s="1">
        <v>4</v>
      </c>
      <c r="H45" s="7">
        <v>266226</v>
      </c>
    </row>
    <row r="46" spans="1:8" x14ac:dyDescent="0.3">
      <c r="A46" s="6" t="s">
        <v>56</v>
      </c>
      <c r="B46" s="1">
        <v>45</v>
      </c>
      <c r="C46" s="1" t="s">
        <v>59</v>
      </c>
      <c r="D46" s="1">
        <v>248</v>
      </c>
      <c r="E46" s="1">
        <v>127066</v>
      </c>
      <c r="F46" s="1">
        <v>118463</v>
      </c>
      <c r="G46" s="1">
        <v>5</v>
      </c>
      <c r="H46" s="7">
        <v>245534</v>
      </c>
    </row>
    <row r="47" spans="1:8" x14ac:dyDescent="0.3">
      <c r="A47" s="6" t="s">
        <v>56</v>
      </c>
      <c r="B47" s="1">
        <v>46</v>
      </c>
      <c r="C47" s="1" t="s">
        <v>60</v>
      </c>
      <c r="D47" s="1">
        <v>260</v>
      </c>
      <c r="E47" s="1">
        <v>134611</v>
      </c>
      <c r="F47" s="1">
        <v>121312</v>
      </c>
      <c r="G47" s="1">
        <v>3</v>
      </c>
      <c r="H47" s="7">
        <v>255926</v>
      </c>
    </row>
    <row r="48" spans="1:8" x14ac:dyDescent="0.3">
      <c r="A48" s="6" t="s">
        <v>56</v>
      </c>
      <c r="B48" s="1">
        <v>47</v>
      </c>
      <c r="C48" s="1" t="s">
        <v>61</v>
      </c>
      <c r="D48" s="1">
        <v>245</v>
      </c>
      <c r="E48" s="1">
        <v>122275</v>
      </c>
      <c r="F48" s="1">
        <v>114253</v>
      </c>
      <c r="G48" s="1">
        <v>14</v>
      </c>
      <c r="H48" s="7">
        <v>236542</v>
      </c>
    </row>
    <row r="49" spans="1:8" x14ac:dyDescent="0.3">
      <c r="A49" s="6" t="s">
        <v>56</v>
      </c>
      <c r="B49" s="1">
        <v>48</v>
      </c>
      <c r="C49" s="1" t="s">
        <v>62</v>
      </c>
      <c r="D49" s="1">
        <v>296</v>
      </c>
      <c r="E49" s="1">
        <v>146394</v>
      </c>
      <c r="F49" s="1">
        <v>131824</v>
      </c>
      <c r="G49" s="1">
        <v>9</v>
      </c>
      <c r="H49" s="7">
        <v>278227</v>
      </c>
    </row>
    <row r="50" spans="1:8" x14ac:dyDescent="0.3">
      <c r="A50" s="6" t="s">
        <v>56</v>
      </c>
      <c r="B50" s="1">
        <v>49</v>
      </c>
      <c r="C50" s="1" t="s">
        <v>63</v>
      </c>
      <c r="D50" s="1">
        <v>261</v>
      </c>
      <c r="E50" s="1">
        <v>133861</v>
      </c>
      <c r="F50" s="1">
        <v>121108</v>
      </c>
      <c r="G50" s="1">
        <v>2</v>
      </c>
      <c r="H50" s="7">
        <v>254971</v>
      </c>
    </row>
    <row r="51" spans="1:8" x14ac:dyDescent="0.3">
      <c r="A51" s="6" t="s">
        <v>56</v>
      </c>
      <c r="B51" s="1">
        <v>50</v>
      </c>
      <c r="C51" s="1" t="s">
        <v>64</v>
      </c>
      <c r="D51" s="1">
        <v>248</v>
      </c>
      <c r="E51" s="1">
        <v>122979</v>
      </c>
      <c r="F51" s="1">
        <v>119904</v>
      </c>
      <c r="G51" s="1">
        <v>5</v>
      </c>
      <c r="H51" s="7">
        <v>242888</v>
      </c>
    </row>
    <row r="52" spans="1:8" x14ac:dyDescent="0.3">
      <c r="A52" s="6" t="s">
        <v>56</v>
      </c>
      <c r="B52" s="1">
        <v>51</v>
      </c>
      <c r="C52" s="1" t="s">
        <v>65</v>
      </c>
      <c r="D52" s="1">
        <v>292</v>
      </c>
      <c r="E52" s="1">
        <v>132381</v>
      </c>
      <c r="F52" s="1">
        <v>132781</v>
      </c>
      <c r="G52" s="1">
        <v>9</v>
      </c>
      <c r="H52" s="7">
        <v>265171</v>
      </c>
    </row>
    <row r="53" spans="1:8" x14ac:dyDescent="0.3">
      <c r="A53" s="6" t="s">
        <v>56</v>
      </c>
      <c r="B53" s="1">
        <v>52</v>
      </c>
      <c r="C53" s="1" t="s">
        <v>66</v>
      </c>
      <c r="D53" s="1">
        <v>205</v>
      </c>
      <c r="E53" s="1">
        <v>104061</v>
      </c>
      <c r="F53" s="1">
        <v>98534</v>
      </c>
      <c r="G53" s="1">
        <v>9</v>
      </c>
      <c r="H53" s="7">
        <v>202604</v>
      </c>
    </row>
    <row r="54" spans="1:8" x14ac:dyDescent="0.3">
      <c r="A54" s="6" t="s">
        <v>56</v>
      </c>
      <c r="B54" s="1">
        <v>53</v>
      </c>
      <c r="C54" s="1" t="s">
        <v>67</v>
      </c>
      <c r="D54" s="1">
        <v>264</v>
      </c>
      <c r="E54" s="1">
        <v>131156</v>
      </c>
      <c r="F54" s="1">
        <v>125113</v>
      </c>
      <c r="G54" s="1">
        <v>7</v>
      </c>
      <c r="H54" s="7">
        <v>256276</v>
      </c>
    </row>
    <row r="55" spans="1:8" x14ac:dyDescent="0.3">
      <c r="A55" s="6" t="s">
        <v>56</v>
      </c>
      <c r="B55" s="1">
        <v>54</v>
      </c>
      <c r="C55" s="1" t="s">
        <v>68</v>
      </c>
      <c r="D55" s="1">
        <v>262</v>
      </c>
      <c r="E55" s="1">
        <v>130159</v>
      </c>
      <c r="F55" s="1">
        <v>120174</v>
      </c>
      <c r="G55" s="1">
        <v>10</v>
      </c>
      <c r="H55" s="7">
        <v>250343</v>
      </c>
    </row>
    <row r="56" spans="1:8" x14ac:dyDescent="0.3">
      <c r="A56" s="6" t="s">
        <v>69</v>
      </c>
      <c r="B56" s="1">
        <v>55</v>
      </c>
      <c r="C56" s="1" t="s">
        <v>70</v>
      </c>
      <c r="D56" s="1">
        <v>236</v>
      </c>
      <c r="E56" s="1">
        <v>114053</v>
      </c>
      <c r="F56" s="1">
        <v>108803</v>
      </c>
      <c r="G56" s="1">
        <v>5</v>
      </c>
      <c r="H56" s="7">
        <v>222861</v>
      </c>
    </row>
    <row r="57" spans="1:8" x14ac:dyDescent="0.3">
      <c r="A57" s="6" t="s">
        <v>69</v>
      </c>
      <c r="B57" s="1">
        <v>56</v>
      </c>
      <c r="C57" s="1" t="s">
        <v>71</v>
      </c>
      <c r="D57" s="1">
        <v>247</v>
      </c>
      <c r="E57" s="1">
        <v>118427</v>
      </c>
      <c r="F57" s="1">
        <v>117610</v>
      </c>
      <c r="G57" s="1">
        <v>3</v>
      </c>
      <c r="H57" s="7">
        <v>236040</v>
      </c>
    </row>
    <row r="58" spans="1:8" x14ac:dyDescent="0.3">
      <c r="A58" s="6" t="s">
        <v>69</v>
      </c>
      <c r="B58" s="1">
        <v>57</v>
      </c>
      <c r="C58" s="1" t="s">
        <v>72</v>
      </c>
      <c r="D58" s="1">
        <v>285</v>
      </c>
      <c r="E58" s="1">
        <v>136567</v>
      </c>
      <c r="F58" s="1">
        <v>130143</v>
      </c>
      <c r="G58" s="1">
        <v>2</v>
      </c>
      <c r="H58" s="7">
        <v>266712</v>
      </c>
    </row>
    <row r="59" spans="1:8" x14ac:dyDescent="0.3">
      <c r="A59" s="6" t="s">
        <v>69</v>
      </c>
      <c r="B59" s="1">
        <v>58</v>
      </c>
      <c r="C59" s="1" t="s">
        <v>73</v>
      </c>
      <c r="D59" s="1">
        <v>275</v>
      </c>
      <c r="E59" s="1">
        <v>131763</v>
      </c>
      <c r="F59" s="1">
        <v>124497</v>
      </c>
      <c r="G59" s="1">
        <v>4</v>
      </c>
      <c r="H59" s="7">
        <v>256264</v>
      </c>
    </row>
    <row r="60" spans="1:8" x14ac:dyDescent="0.3">
      <c r="A60" s="6" t="s">
        <v>69</v>
      </c>
      <c r="B60" s="1">
        <v>59</v>
      </c>
      <c r="C60" s="1" t="s">
        <v>74</v>
      </c>
      <c r="D60" s="1">
        <v>269</v>
      </c>
      <c r="E60" s="1">
        <v>130216</v>
      </c>
      <c r="F60" s="1">
        <v>120646</v>
      </c>
      <c r="G60" s="1">
        <v>0</v>
      </c>
      <c r="H60" s="7">
        <v>250862</v>
      </c>
    </row>
    <row r="61" spans="1:8" x14ac:dyDescent="0.3">
      <c r="A61" s="6" t="s">
        <v>69</v>
      </c>
      <c r="B61" s="1">
        <v>60</v>
      </c>
      <c r="C61" s="1" t="s">
        <v>75</v>
      </c>
      <c r="D61" s="1">
        <v>250</v>
      </c>
      <c r="E61" s="1">
        <v>122440</v>
      </c>
      <c r="F61" s="1">
        <v>113991</v>
      </c>
      <c r="G61" s="1">
        <v>4</v>
      </c>
      <c r="H61" s="7">
        <v>236435</v>
      </c>
    </row>
    <row r="62" spans="1:8" x14ac:dyDescent="0.3">
      <c r="A62" s="6" t="s">
        <v>69</v>
      </c>
      <c r="B62" s="1">
        <v>61</v>
      </c>
      <c r="C62" s="1" t="s">
        <v>76</v>
      </c>
      <c r="D62" s="1">
        <v>256</v>
      </c>
      <c r="E62" s="1">
        <v>124323</v>
      </c>
      <c r="F62" s="1">
        <v>115464</v>
      </c>
      <c r="G62" s="1">
        <v>3</v>
      </c>
      <c r="H62" s="7">
        <v>239790</v>
      </c>
    </row>
    <row r="63" spans="1:8" x14ac:dyDescent="0.3">
      <c r="A63" s="6" t="s">
        <v>69</v>
      </c>
      <c r="B63" s="1">
        <v>62</v>
      </c>
      <c r="C63" s="1" t="s">
        <v>77</v>
      </c>
      <c r="D63" s="1">
        <v>283</v>
      </c>
      <c r="E63" s="1">
        <v>141077</v>
      </c>
      <c r="F63" s="1">
        <v>130837</v>
      </c>
      <c r="G63" s="1">
        <v>1</v>
      </c>
      <c r="H63" s="7">
        <v>271915</v>
      </c>
    </row>
    <row r="64" spans="1:8" x14ac:dyDescent="0.3">
      <c r="A64" s="6" t="s">
        <v>69</v>
      </c>
      <c r="B64" s="1">
        <v>63</v>
      </c>
      <c r="C64" s="1" t="s">
        <v>78</v>
      </c>
      <c r="D64" s="1">
        <v>270</v>
      </c>
      <c r="E64" s="1">
        <v>134724</v>
      </c>
      <c r="F64" s="1">
        <v>126391</v>
      </c>
      <c r="G64" s="1">
        <v>6</v>
      </c>
      <c r="H64" s="7">
        <v>261121</v>
      </c>
    </row>
    <row r="65" spans="1:8" x14ac:dyDescent="0.3">
      <c r="A65" s="6" t="s">
        <v>69</v>
      </c>
      <c r="B65" s="1">
        <v>64</v>
      </c>
      <c r="C65" s="1" t="s">
        <v>79</v>
      </c>
      <c r="D65" s="1">
        <v>282</v>
      </c>
      <c r="E65" s="1">
        <v>135880</v>
      </c>
      <c r="F65" s="1">
        <v>131344</v>
      </c>
      <c r="G65" s="1">
        <v>1</v>
      </c>
      <c r="H65" s="7">
        <v>267225</v>
      </c>
    </row>
    <row r="66" spans="1:8" x14ac:dyDescent="0.3">
      <c r="A66" s="6" t="s">
        <v>69</v>
      </c>
      <c r="B66" s="1">
        <v>65</v>
      </c>
      <c r="C66" s="1" t="s">
        <v>80</v>
      </c>
      <c r="D66" s="1">
        <v>272</v>
      </c>
      <c r="E66" s="1">
        <v>130794</v>
      </c>
      <c r="F66" s="1">
        <v>124895</v>
      </c>
      <c r="G66" s="1">
        <v>4</v>
      </c>
      <c r="H66" s="7">
        <v>255693</v>
      </c>
    </row>
    <row r="67" spans="1:8" x14ac:dyDescent="0.3">
      <c r="A67" s="6" t="s">
        <v>69</v>
      </c>
      <c r="B67" s="1">
        <v>66</v>
      </c>
      <c r="C67" s="1" t="s">
        <v>81</v>
      </c>
      <c r="D67" s="1">
        <v>244</v>
      </c>
      <c r="E67" s="1">
        <v>121423</v>
      </c>
      <c r="F67" s="1">
        <v>112810</v>
      </c>
      <c r="G67" s="1">
        <v>3</v>
      </c>
      <c r="H67" s="7">
        <v>234236</v>
      </c>
    </row>
    <row r="68" spans="1:8" x14ac:dyDescent="0.3">
      <c r="A68" s="6" t="s">
        <v>69</v>
      </c>
      <c r="B68" s="1">
        <v>67</v>
      </c>
      <c r="C68" s="1" t="s">
        <v>82</v>
      </c>
      <c r="D68" s="1">
        <v>233</v>
      </c>
      <c r="E68" s="1">
        <v>112180</v>
      </c>
      <c r="F68" s="1">
        <v>103713</v>
      </c>
      <c r="G68" s="1">
        <v>5</v>
      </c>
      <c r="H68" s="7">
        <v>215898</v>
      </c>
    </row>
    <row r="69" spans="1:8" x14ac:dyDescent="0.3">
      <c r="A69" s="6" t="s">
        <v>69</v>
      </c>
      <c r="B69" s="1">
        <v>68</v>
      </c>
      <c r="C69" s="1" t="s">
        <v>83</v>
      </c>
      <c r="D69" s="1">
        <v>255</v>
      </c>
      <c r="E69" s="1">
        <v>123356</v>
      </c>
      <c r="F69" s="1">
        <v>116566</v>
      </c>
      <c r="G69" s="1">
        <v>3</v>
      </c>
      <c r="H69" s="7">
        <v>239925</v>
      </c>
    </row>
    <row r="70" spans="1:8" x14ac:dyDescent="0.3">
      <c r="A70" s="6" t="s">
        <v>69</v>
      </c>
      <c r="B70" s="1">
        <v>69</v>
      </c>
      <c r="C70" s="1" t="s">
        <v>84</v>
      </c>
      <c r="D70" s="1">
        <v>262</v>
      </c>
      <c r="E70" s="1">
        <v>124847</v>
      </c>
      <c r="F70" s="1">
        <v>114606</v>
      </c>
      <c r="G70" s="1">
        <v>4</v>
      </c>
      <c r="H70" s="7">
        <v>239457</v>
      </c>
    </row>
    <row r="71" spans="1:8" x14ac:dyDescent="0.3">
      <c r="A71" s="6" t="s">
        <v>69</v>
      </c>
      <c r="B71" s="1">
        <v>70</v>
      </c>
      <c r="C71" s="1" t="s">
        <v>85</v>
      </c>
      <c r="D71" s="1">
        <v>282</v>
      </c>
      <c r="E71" s="1">
        <v>134986</v>
      </c>
      <c r="F71" s="1">
        <v>124012</v>
      </c>
      <c r="G71" s="1">
        <v>6</v>
      </c>
      <c r="H71" s="7">
        <v>259004</v>
      </c>
    </row>
    <row r="72" spans="1:8" x14ac:dyDescent="0.3">
      <c r="A72" s="6" t="s">
        <v>69</v>
      </c>
      <c r="B72" s="1">
        <v>71</v>
      </c>
      <c r="C72" s="1" t="s">
        <v>86</v>
      </c>
      <c r="D72" s="1">
        <v>281</v>
      </c>
      <c r="E72" s="1">
        <v>130736</v>
      </c>
      <c r="F72" s="1">
        <v>121267</v>
      </c>
      <c r="G72" s="1">
        <v>4</v>
      </c>
      <c r="H72" s="7">
        <v>252007</v>
      </c>
    </row>
    <row r="73" spans="1:8" x14ac:dyDescent="0.3">
      <c r="A73" s="6" t="s">
        <v>69</v>
      </c>
      <c r="B73" s="1">
        <v>72</v>
      </c>
      <c r="C73" s="1" t="s">
        <v>87</v>
      </c>
      <c r="D73" s="1">
        <v>298</v>
      </c>
      <c r="E73" s="1">
        <v>122403</v>
      </c>
      <c r="F73" s="1">
        <v>125774</v>
      </c>
      <c r="G73" s="1">
        <v>11</v>
      </c>
      <c r="H73" s="7">
        <v>248188</v>
      </c>
    </row>
    <row r="74" spans="1:8" x14ac:dyDescent="0.3">
      <c r="A74" s="6" t="s">
        <v>69</v>
      </c>
      <c r="B74" s="1">
        <v>73</v>
      </c>
      <c r="C74" s="1" t="s">
        <v>88</v>
      </c>
      <c r="D74" s="1">
        <v>276</v>
      </c>
      <c r="E74" s="1">
        <v>128669</v>
      </c>
      <c r="F74" s="1">
        <v>121862</v>
      </c>
      <c r="G74" s="1">
        <v>8</v>
      </c>
      <c r="H74" s="7">
        <v>250539</v>
      </c>
    </row>
    <row r="75" spans="1:8" x14ac:dyDescent="0.3">
      <c r="A75" s="6" t="s">
        <v>69</v>
      </c>
      <c r="B75" s="1">
        <v>74</v>
      </c>
      <c r="C75" s="1" t="s">
        <v>89</v>
      </c>
      <c r="D75" s="1">
        <v>269</v>
      </c>
      <c r="E75" s="1">
        <v>127714</v>
      </c>
      <c r="F75" s="1">
        <v>118837</v>
      </c>
      <c r="G75" s="1">
        <v>2</v>
      </c>
      <c r="H75" s="7">
        <v>246553</v>
      </c>
    </row>
    <row r="76" spans="1:8" x14ac:dyDescent="0.3">
      <c r="A76" s="6" t="s">
        <v>69</v>
      </c>
      <c r="B76" s="1">
        <v>75</v>
      </c>
      <c r="C76" s="1" t="s">
        <v>90</v>
      </c>
      <c r="D76" s="1">
        <v>286</v>
      </c>
      <c r="E76" s="1">
        <v>138540</v>
      </c>
      <c r="F76" s="1">
        <v>130600</v>
      </c>
      <c r="G76" s="1">
        <v>3</v>
      </c>
      <c r="H76" s="7">
        <v>269143</v>
      </c>
    </row>
    <row r="77" spans="1:8" x14ac:dyDescent="0.3">
      <c r="A77" s="6" t="s">
        <v>69</v>
      </c>
      <c r="B77" s="1">
        <v>76</v>
      </c>
      <c r="C77" s="1" t="s">
        <v>91</v>
      </c>
      <c r="D77" s="1">
        <v>284</v>
      </c>
      <c r="E77" s="1">
        <v>137448</v>
      </c>
      <c r="F77" s="1">
        <v>127930</v>
      </c>
      <c r="G77" s="1">
        <v>2</v>
      </c>
      <c r="H77" s="7">
        <v>265380</v>
      </c>
    </row>
    <row r="78" spans="1:8" x14ac:dyDescent="0.3">
      <c r="A78" s="6" t="s">
        <v>92</v>
      </c>
      <c r="B78" s="1">
        <v>77</v>
      </c>
      <c r="C78" s="1" t="s">
        <v>93</v>
      </c>
      <c r="D78" s="1">
        <v>262</v>
      </c>
      <c r="E78" s="1">
        <v>131295</v>
      </c>
      <c r="F78" s="1">
        <v>123722</v>
      </c>
      <c r="G78" s="1">
        <v>3</v>
      </c>
      <c r="H78" s="7">
        <v>255020</v>
      </c>
    </row>
    <row r="79" spans="1:8" x14ac:dyDescent="0.3">
      <c r="A79" s="6" t="s">
        <v>92</v>
      </c>
      <c r="B79" s="1">
        <v>78</v>
      </c>
      <c r="C79" s="1" t="s">
        <v>94</v>
      </c>
      <c r="D79" s="1">
        <v>274</v>
      </c>
      <c r="E79" s="1">
        <v>132196</v>
      </c>
      <c r="F79" s="1">
        <v>122517</v>
      </c>
      <c r="G79" s="1">
        <v>4</v>
      </c>
      <c r="H79" s="7">
        <v>254717</v>
      </c>
    </row>
    <row r="80" spans="1:8" x14ac:dyDescent="0.3">
      <c r="A80" s="6" t="s">
        <v>92</v>
      </c>
      <c r="B80" s="1">
        <v>79</v>
      </c>
      <c r="C80" s="1" t="s">
        <v>95</v>
      </c>
      <c r="D80" s="1">
        <v>256</v>
      </c>
      <c r="E80" s="1">
        <v>127813</v>
      </c>
      <c r="F80" s="1">
        <v>115639</v>
      </c>
      <c r="G80" s="1">
        <v>4</v>
      </c>
      <c r="H80" s="7">
        <v>243456</v>
      </c>
    </row>
    <row r="81" spans="1:8" x14ac:dyDescent="0.3">
      <c r="A81" s="6" t="s">
        <v>92</v>
      </c>
      <c r="B81" s="1">
        <v>80</v>
      </c>
      <c r="C81" s="1" t="s">
        <v>96</v>
      </c>
      <c r="D81" s="1">
        <v>309</v>
      </c>
      <c r="E81" s="1">
        <v>126852</v>
      </c>
      <c r="F81" s="1">
        <v>116024</v>
      </c>
      <c r="G81" s="1">
        <v>3</v>
      </c>
      <c r="H81" s="7">
        <v>242879</v>
      </c>
    </row>
    <row r="82" spans="1:8" x14ac:dyDescent="0.3">
      <c r="A82" s="6" t="s">
        <v>92</v>
      </c>
      <c r="B82" s="1">
        <v>81</v>
      </c>
      <c r="C82" s="1" t="s">
        <v>97</v>
      </c>
      <c r="D82" s="1">
        <v>262</v>
      </c>
      <c r="E82" s="1">
        <v>127824</v>
      </c>
      <c r="F82" s="1">
        <v>115392</v>
      </c>
      <c r="G82" s="1">
        <v>4</v>
      </c>
      <c r="H82" s="7">
        <v>243220</v>
      </c>
    </row>
    <row r="83" spans="1:8" x14ac:dyDescent="0.3">
      <c r="A83" s="6" t="s">
        <v>92</v>
      </c>
      <c r="B83" s="1">
        <v>82</v>
      </c>
      <c r="C83" s="1" t="s">
        <v>98</v>
      </c>
      <c r="D83" s="1">
        <v>285</v>
      </c>
      <c r="E83" s="1">
        <v>130634</v>
      </c>
      <c r="F83" s="1">
        <v>116744</v>
      </c>
      <c r="G83" s="1">
        <v>0</v>
      </c>
      <c r="H83" s="7">
        <v>247378</v>
      </c>
    </row>
    <row r="84" spans="1:8" x14ac:dyDescent="0.3">
      <c r="A84" s="6" t="s">
        <v>92</v>
      </c>
      <c r="B84" s="1">
        <v>83</v>
      </c>
      <c r="C84" s="1" t="s">
        <v>99</v>
      </c>
      <c r="D84" s="1">
        <v>273</v>
      </c>
      <c r="E84" s="1">
        <v>116752</v>
      </c>
      <c r="F84" s="1">
        <v>113990</v>
      </c>
      <c r="G84" s="1">
        <v>5</v>
      </c>
      <c r="H84" s="7">
        <v>230747</v>
      </c>
    </row>
    <row r="85" spans="1:8" x14ac:dyDescent="0.3">
      <c r="A85" s="6" t="s">
        <v>92</v>
      </c>
      <c r="B85" s="1">
        <v>84</v>
      </c>
      <c r="C85" s="1" t="s">
        <v>100</v>
      </c>
      <c r="D85" s="1">
        <v>276</v>
      </c>
      <c r="E85" s="1">
        <v>121141</v>
      </c>
      <c r="F85" s="1">
        <v>115220</v>
      </c>
      <c r="G85" s="1">
        <v>3</v>
      </c>
      <c r="H85" s="7">
        <v>236364</v>
      </c>
    </row>
    <row r="86" spans="1:8" x14ac:dyDescent="0.3">
      <c r="A86" s="6" t="s">
        <v>92</v>
      </c>
      <c r="B86" s="1">
        <v>85</v>
      </c>
      <c r="C86" s="1" t="s">
        <v>101</v>
      </c>
      <c r="D86" s="1">
        <v>238</v>
      </c>
      <c r="E86" s="1">
        <v>115910</v>
      </c>
      <c r="F86" s="1">
        <v>106566</v>
      </c>
      <c r="G86" s="1">
        <v>1</v>
      </c>
      <c r="H86" s="7">
        <v>222477</v>
      </c>
    </row>
    <row r="87" spans="1:8" x14ac:dyDescent="0.3">
      <c r="A87" s="6" t="s">
        <v>92</v>
      </c>
      <c r="B87" s="1">
        <v>86</v>
      </c>
      <c r="C87" s="1" t="s">
        <v>102</v>
      </c>
      <c r="D87" s="1">
        <v>265</v>
      </c>
      <c r="E87" s="1">
        <v>127560</v>
      </c>
      <c r="F87" s="1">
        <v>118022</v>
      </c>
      <c r="G87" s="1">
        <v>9</v>
      </c>
      <c r="H87" s="7">
        <v>245591</v>
      </c>
    </row>
    <row r="88" spans="1:8" x14ac:dyDescent="0.3">
      <c r="A88" s="6" t="s">
        <v>92</v>
      </c>
      <c r="B88" s="1">
        <v>87</v>
      </c>
      <c r="C88" s="1" t="s">
        <v>103</v>
      </c>
      <c r="D88" s="1">
        <v>290</v>
      </c>
      <c r="E88" s="1">
        <v>128216</v>
      </c>
      <c r="F88" s="1">
        <v>123481</v>
      </c>
      <c r="G88" s="1">
        <v>13</v>
      </c>
      <c r="H88" s="7">
        <v>251710</v>
      </c>
    </row>
    <row r="89" spans="1:8" x14ac:dyDescent="0.3">
      <c r="A89" s="6" t="s">
        <v>92</v>
      </c>
      <c r="B89" s="1">
        <v>88</v>
      </c>
      <c r="C89" s="1" t="s">
        <v>104</v>
      </c>
      <c r="D89" s="1">
        <v>297</v>
      </c>
      <c r="E89" s="1">
        <v>140291</v>
      </c>
      <c r="F89" s="1">
        <v>128638</v>
      </c>
      <c r="G89" s="1">
        <v>3</v>
      </c>
      <c r="H89" s="7">
        <v>268932</v>
      </c>
    </row>
    <row r="90" spans="1:8" x14ac:dyDescent="0.3">
      <c r="A90" s="6" t="s">
        <v>92</v>
      </c>
      <c r="B90" s="1">
        <v>89</v>
      </c>
      <c r="C90" s="1" t="s">
        <v>105</v>
      </c>
      <c r="D90" s="1">
        <v>282</v>
      </c>
      <c r="E90" s="1">
        <v>136162</v>
      </c>
      <c r="F90" s="1">
        <v>122508</v>
      </c>
      <c r="G90" s="1">
        <v>12</v>
      </c>
      <c r="H90" s="7">
        <v>258682</v>
      </c>
    </row>
    <row r="91" spans="1:8" x14ac:dyDescent="0.3">
      <c r="A91" s="6" t="s">
        <v>92</v>
      </c>
      <c r="B91" s="1">
        <v>90</v>
      </c>
      <c r="C91" s="1" t="s">
        <v>106</v>
      </c>
      <c r="D91" s="1">
        <v>308</v>
      </c>
      <c r="E91" s="1">
        <v>142414</v>
      </c>
      <c r="F91" s="1">
        <v>134286</v>
      </c>
      <c r="G91" s="1">
        <v>2</v>
      </c>
      <c r="H91" s="7">
        <v>276702</v>
      </c>
    </row>
    <row r="92" spans="1:8" x14ac:dyDescent="0.3">
      <c r="A92" s="6" t="s">
        <v>92</v>
      </c>
      <c r="B92" s="1">
        <v>91</v>
      </c>
      <c r="C92" s="1" t="s">
        <v>107</v>
      </c>
      <c r="D92" s="1">
        <v>269</v>
      </c>
      <c r="E92" s="1">
        <v>122563</v>
      </c>
      <c r="F92" s="1">
        <v>116880</v>
      </c>
      <c r="G92" s="1">
        <v>3</v>
      </c>
      <c r="H92" s="7">
        <v>239446</v>
      </c>
    </row>
    <row r="93" spans="1:8" x14ac:dyDescent="0.3">
      <c r="A93" s="6" t="s">
        <v>92</v>
      </c>
      <c r="B93" s="1">
        <v>92</v>
      </c>
      <c r="C93" s="1" t="s">
        <v>108</v>
      </c>
      <c r="D93" s="1">
        <v>282</v>
      </c>
      <c r="E93" s="1">
        <v>125988</v>
      </c>
      <c r="F93" s="1">
        <v>122310</v>
      </c>
      <c r="G93" s="1">
        <v>8</v>
      </c>
      <c r="H93" s="7">
        <v>248306</v>
      </c>
    </row>
    <row r="94" spans="1:8" x14ac:dyDescent="0.3">
      <c r="A94" s="6" t="s">
        <v>92</v>
      </c>
      <c r="B94" s="1">
        <v>93</v>
      </c>
      <c r="C94" s="1" t="s">
        <v>109</v>
      </c>
      <c r="D94" s="1">
        <v>258</v>
      </c>
      <c r="E94" s="1">
        <v>122293</v>
      </c>
      <c r="F94" s="1">
        <v>114290</v>
      </c>
      <c r="G94" s="1">
        <v>5</v>
      </c>
      <c r="H94" s="7">
        <v>236588</v>
      </c>
    </row>
    <row r="95" spans="1:8" x14ac:dyDescent="0.3">
      <c r="A95" s="6" t="s">
        <v>110</v>
      </c>
      <c r="B95" s="1">
        <v>94</v>
      </c>
      <c r="C95" s="1" t="s">
        <v>111</v>
      </c>
      <c r="D95" s="1">
        <v>300</v>
      </c>
      <c r="E95" s="1">
        <v>137251</v>
      </c>
      <c r="F95" s="1">
        <v>125883</v>
      </c>
      <c r="G95" s="1">
        <v>8</v>
      </c>
      <c r="H95" s="7">
        <v>263142</v>
      </c>
    </row>
    <row r="96" spans="1:8" x14ac:dyDescent="0.3">
      <c r="A96" s="6" t="s">
        <v>110</v>
      </c>
      <c r="B96" s="1">
        <v>95</v>
      </c>
      <c r="C96" s="1" t="s">
        <v>112</v>
      </c>
      <c r="D96" s="1">
        <v>276</v>
      </c>
      <c r="E96" s="1">
        <v>124052</v>
      </c>
      <c r="F96" s="1">
        <v>117260</v>
      </c>
      <c r="G96" s="1">
        <v>25</v>
      </c>
      <c r="H96" s="7">
        <v>241337</v>
      </c>
    </row>
    <row r="97" spans="1:8" x14ac:dyDescent="0.3">
      <c r="A97" s="6" t="s">
        <v>110</v>
      </c>
      <c r="B97" s="1">
        <v>96</v>
      </c>
      <c r="C97" s="1" t="s">
        <v>113</v>
      </c>
      <c r="D97" s="1">
        <v>270</v>
      </c>
      <c r="E97" s="1">
        <v>126141</v>
      </c>
      <c r="F97" s="1">
        <v>118665</v>
      </c>
      <c r="G97" s="1">
        <v>8</v>
      </c>
      <c r="H97" s="7">
        <v>244814</v>
      </c>
    </row>
    <row r="98" spans="1:8" x14ac:dyDescent="0.3">
      <c r="A98" s="6" t="s">
        <v>110</v>
      </c>
      <c r="B98" s="1">
        <v>97</v>
      </c>
      <c r="C98" s="1" t="s">
        <v>114</v>
      </c>
      <c r="D98" s="1">
        <v>274</v>
      </c>
      <c r="E98" s="1">
        <v>127357</v>
      </c>
      <c r="F98" s="1">
        <v>121290</v>
      </c>
      <c r="G98" s="1">
        <v>5</v>
      </c>
      <c r="H98" s="7">
        <v>248652</v>
      </c>
    </row>
    <row r="99" spans="1:8" x14ac:dyDescent="0.3">
      <c r="A99" s="6" t="s">
        <v>110</v>
      </c>
      <c r="B99" s="1">
        <v>98</v>
      </c>
      <c r="C99" s="1" t="s">
        <v>115</v>
      </c>
      <c r="D99" s="1">
        <v>271</v>
      </c>
      <c r="E99" s="1">
        <v>123891</v>
      </c>
      <c r="F99" s="1">
        <v>116566</v>
      </c>
      <c r="G99" s="1">
        <v>2</v>
      </c>
      <c r="H99" s="7">
        <v>240459</v>
      </c>
    </row>
    <row r="100" spans="1:8" x14ac:dyDescent="0.3">
      <c r="A100" s="6" t="s">
        <v>110</v>
      </c>
      <c r="B100" s="1">
        <v>99</v>
      </c>
      <c r="C100" s="1" t="s">
        <v>116</v>
      </c>
      <c r="D100" s="1">
        <v>273</v>
      </c>
      <c r="E100" s="1">
        <v>125622</v>
      </c>
      <c r="F100" s="1">
        <v>118716</v>
      </c>
      <c r="G100" s="1">
        <v>4</v>
      </c>
      <c r="H100" s="7">
        <v>244342</v>
      </c>
    </row>
    <row r="101" spans="1:8" x14ac:dyDescent="0.3">
      <c r="A101" s="6" t="s">
        <v>110</v>
      </c>
      <c r="B101" s="1">
        <v>100</v>
      </c>
      <c r="C101" s="1" t="s">
        <v>117</v>
      </c>
      <c r="D101" s="1">
        <v>261</v>
      </c>
      <c r="E101" s="1">
        <v>119890</v>
      </c>
      <c r="F101" s="1">
        <v>112047</v>
      </c>
      <c r="G101" s="1">
        <v>8</v>
      </c>
      <c r="H101" s="7">
        <v>231945</v>
      </c>
    </row>
    <row r="102" spans="1:8" x14ac:dyDescent="0.3">
      <c r="A102" s="6" t="s">
        <v>110</v>
      </c>
      <c r="B102" s="1">
        <v>101</v>
      </c>
      <c r="C102" s="1" t="s">
        <v>118</v>
      </c>
      <c r="D102" s="1">
        <v>282</v>
      </c>
      <c r="E102" s="1">
        <v>125072</v>
      </c>
      <c r="F102" s="1">
        <v>120380</v>
      </c>
      <c r="G102" s="1">
        <v>8</v>
      </c>
      <c r="H102" s="7">
        <v>245460</v>
      </c>
    </row>
    <row r="103" spans="1:8" x14ac:dyDescent="0.3">
      <c r="A103" s="6" t="s">
        <v>110</v>
      </c>
      <c r="B103" s="1">
        <v>102</v>
      </c>
      <c r="C103" s="1" t="s">
        <v>119</v>
      </c>
      <c r="D103" s="1">
        <v>269</v>
      </c>
      <c r="E103" s="1">
        <v>125410</v>
      </c>
      <c r="F103" s="1">
        <v>116640</v>
      </c>
      <c r="G103" s="1">
        <v>5</v>
      </c>
      <c r="H103" s="7">
        <v>242055</v>
      </c>
    </row>
    <row r="104" spans="1:8" x14ac:dyDescent="0.3">
      <c r="A104" s="6" t="s">
        <v>110</v>
      </c>
      <c r="B104" s="1">
        <v>103</v>
      </c>
      <c r="C104" s="1" t="s">
        <v>120</v>
      </c>
      <c r="D104" s="1">
        <v>205</v>
      </c>
      <c r="E104" s="1">
        <v>82695</v>
      </c>
      <c r="F104" s="1">
        <v>81722</v>
      </c>
      <c r="G104" s="1">
        <v>4</v>
      </c>
      <c r="H104" s="7">
        <v>164421</v>
      </c>
    </row>
    <row r="105" spans="1:8" x14ac:dyDescent="0.3">
      <c r="A105" s="6" t="s">
        <v>110</v>
      </c>
      <c r="B105" s="1">
        <v>104</v>
      </c>
      <c r="C105" s="1" t="s">
        <v>121</v>
      </c>
      <c r="D105" s="1">
        <v>210</v>
      </c>
      <c r="E105" s="1">
        <v>90005</v>
      </c>
      <c r="F105" s="1">
        <v>90418</v>
      </c>
      <c r="G105" s="1">
        <v>7</v>
      </c>
      <c r="H105" s="7">
        <v>180430</v>
      </c>
    </row>
    <row r="106" spans="1:8" x14ac:dyDescent="0.3">
      <c r="A106" s="6" t="s">
        <v>110</v>
      </c>
      <c r="B106" s="1">
        <v>105</v>
      </c>
      <c r="C106" s="1" t="s">
        <v>122</v>
      </c>
      <c r="D106" s="1">
        <v>163</v>
      </c>
      <c r="E106" s="1">
        <v>64672</v>
      </c>
      <c r="F106" s="1">
        <v>58967</v>
      </c>
      <c r="G106" s="1">
        <v>4</v>
      </c>
      <c r="H106" s="7">
        <v>123643</v>
      </c>
    </row>
    <row r="107" spans="1:8" x14ac:dyDescent="0.3">
      <c r="A107" s="6" t="s">
        <v>110</v>
      </c>
      <c r="B107" s="1">
        <v>106</v>
      </c>
      <c r="C107" s="1" t="s">
        <v>123</v>
      </c>
      <c r="D107" s="1">
        <v>238</v>
      </c>
      <c r="E107" s="1">
        <v>107138</v>
      </c>
      <c r="F107" s="1">
        <v>103656</v>
      </c>
      <c r="G107" s="1">
        <v>12</v>
      </c>
      <c r="H107" s="7">
        <v>210806</v>
      </c>
    </row>
    <row r="108" spans="1:8" x14ac:dyDescent="0.3">
      <c r="A108" s="6" t="s">
        <v>110</v>
      </c>
      <c r="B108" s="1">
        <v>107</v>
      </c>
      <c r="C108" s="1" t="s">
        <v>124</v>
      </c>
      <c r="D108" s="1">
        <v>279</v>
      </c>
      <c r="E108" s="1">
        <v>113562</v>
      </c>
      <c r="F108" s="1">
        <v>113762</v>
      </c>
      <c r="G108" s="1">
        <v>4</v>
      </c>
      <c r="H108" s="7">
        <v>227328</v>
      </c>
    </row>
    <row r="109" spans="1:8" x14ac:dyDescent="0.3">
      <c r="A109" s="6" t="s">
        <v>110</v>
      </c>
      <c r="B109" s="1">
        <v>108</v>
      </c>
      <c r="C109" s="1" t="s">
        <v>125</v>
      </c>
      <c r="D109" s="1">
        <v>231</v>
      </c>
      <c r="E109" s="1">
        <v>87879</v>
      </c>
      <c r="F109" s="1">
        <v>86833</v>
      </c>
      <c r="G109" s="1">
        <v>1</v>
      </c>
      <c r="H109" s="7">
        <v>174713</v>
      </c>
    </row>
    <row r="110" spans="1:8" x14ac:dyDescent="0.3">
      <c r="A110" s="6" t="s">
        <v>110</v>
      </c>
      <c r="B110" s="1">
        <v>109</v>
      </c>
      <c r="C110" s="1" t="s">
        <v>126</v>
      </c>
      <c r="D110" s="1">
        <v>241</v>
      </c>
      <c r="E110" s="1">
        <v>109912</v>
      </c>
      <c r="F110" s="1">
        <v>110021</v>
      </c>
      <c r="G110" s="1">
        <v>9</v>
      </c>
      <c r="H110" s="7">
        <v>219942</v>
      </c>
    </row>
    <row r="111" spans="1:8" x14ac:dyDescent="0.3">
      <c r="A111" s="6" t="s">
        <v>110</v>
      </c>
      <c r="B111" s="1">
        <v>110</v>
      </c>
      <c r="C111" s="1" t="s">
        <v>127</v>
      </c>
      <c r="D111" s="1">
        <v>285</v>
      </c>
      <c r="E111" s="1">
        <v>121850</v>
      </c>
      <c r="F111" s="1">
        <v>125818</v>
      </c>
      <c r="G111" s="1">
        <v>4</v>
      </c>
      <c r="H111" s="7">
        <v>247672</v>
      </c>
    </row>
    <row r="112" spans="1:8" x14ac:dyDescent="0.3">
      <c r="A112" s="6" t="s">
        <v>110</v>
      </c>
      <c r="B112" s="1">
        <v>111</v>
      </c>
      <c r="C112" s="1" t="s">
        <v>128</v>
      </c>
      <c r="D112" s="1">
        <v>253</v>
      </c>
      <c r="E112" s="1">
        <v>97756</v>
      </c>
      <c r="F112" s="1">
        <v>100695</v>
      </c>
      <c r="G112" s="1">
        <v>4</v>
      </c>
      <c r="H112" s="7">
        <v>198455</v>
      </c>
    </row>
    <row r="113" spans="1:8" x14ac:dyDescent="0.3">
      <c r="A113" s="6" t="s">
        <v>110</v>
      </c>
      <c r="B113" s="1">
        <v>112</v>
      </c>
      <c r="C113" s="1" t="s">
        <v>129</v>
      </c>
      <c r="D113" s="1">
        <v>217</v>
      </c>
      <c r="E113" s="1">
        <v>82916</v>
      </c>
      <c r="F113" s="1">
        <v>84285</v>
      </c>
      <c r="G113" s="1">
        <v>6</v>
      </c>
      <c r="H113" s="7">
        <v>167207</v>
      </c>
    </row>
    <row r="114" spans="1:8" x14ac:dyDescent="0.3">
      <c r="A114" s="6" t="s">
        <v>110</v>
      </c>
      <c r="B114" s="1">
        <v>113</v>
      </c>
      <c r="C114" s="1" t="s">
        <v>130</v>
      </c>
      <c r="D114" s="1">
        <v>252</v>
      </c>
      <c r="E114" s="1">
        <v>91701</v>
      </c>
      <c r="F114" s="1">
        <v>97068</v>
      </c>
      <c r="G114" s="1">
        <v>4</v>
      </c>
      <c r="H114" s="7">
        <v>188773</v>
      </c>
    </row>
    <row r="115" spans="1:8" x14ac:dyDescent="0.3">
      <c r="A115" s="6" t="s">
        <v>110</v>
      </c>
      <c r="B115" s="1">
        <v>114</v>
      </c>
      <c r="C115" s="1" t="s">
        <v>131</v>
      </c>
      <c r="D115" s="1">
        <v>276</v>
      </c>
      <c r="E115" s="1">
        <v>108091</v>
      </c>
      <c r="F115" s="1">
        <v>114452</v>
      </c>
      <c r="G115" s="1">
        <v>7</v>
      </c>
      <c r="H115" s="7">
        <v>222550</v>
      </c>
    </row>
    <row r="116" spans="1:8" x14ac:dyDescent="0.3">
      <c r="A116" s="6" t="s">
        <v>110</v>
      </c>
      <c r="B116" s="1">
        <v>115</v>
      </c>
      <c r="C116" s="1" t="s">
        <v>132</v>
      </c>
      <c r="D116" s="1">
        <v>316</v>
      </c>
      <c r="E116" s="1">
        <v>145803</v>
      </c>
      <c r="F116" s="1">
        <v>140640</v>
      </c>
      <c r="G116" s="1">
        <v>5</v>
      </c>
      <c r="H116" s="7">
        <v>286448</v>
      </c>
    </row>
    <row r="117" spans="1:8" x14ac:dyDescent="0.3">
      <c r="A117" s="6" t="s">
        <v>110</v>
      </c>
      <c r="B117" s="1">
        <v>116</v>
      </c>
      <c r="C117" s="1" t="s">
        <v>133</v>
      </c>
      <c r="D117" s="1">
        <v>281</v>
      </c>
      <c r="E117" s="1">
        <v>98181</v>
      </c>
      <c r="F117" s="1">
        <v>104181</v>
      </c>
      <c r="G117" s="1">
        <v>8</v>
      </c>
      <c r="H117" s="7">
        <v>202370</v>
      </c>
    </row>
    <row r="118" spans="1:8" x14ac:dyDescent="0.3">
      <c r="A118" s="6" t="s">
        <v>110</v>
      </c>
      <c r="B118" s="1">
        <v>117</v>
      </c>
      <c r="C118" s="1" t="s">
        <v>134</v>
      </c>
      <c r="D118" s="1">
        <v>268</v>
      </c>
      <c r="E118" s="1">
        <v>109320</v>
      </c>
      <c r="F118" s="1">
        <v>115818</v>
      </c>
      <c r="G118" s="1">
        <v>8</v>
      </c>
      <c r="H118" s="7">
        <v>225146</v>
      </c>
    </row>
    <row r="119" spans="1:8" x14ac:dyDescent="0.3">
      <c r="A119" s="6" t="s">
        <v>110</v>
      </c>
      <c r="B119" s="1">
        <v>118</v>
      </c>
      <c r="C119" s="1" t="s">
        <v>135</v>
      </c>
      <c r="D119" s="1">
        <v>296</v>
      </c>
      <c r="E119" s="1">
        <v>133408</v>
      </c>
      <c r="F119" s="1">
        <v>130707</v>
      </c>
      <c r="G119" s="1">
        <v>4</v>
      </c>
      <c r="H119" s="7">
        <v>264119</v>
      </c>
    </row>
    <row r="120" spans="1:8" x14ac:dyDescent="0.3">
      <c r="A120" s="6" t="s">
        <v>110</v>
      </c>
      <c r="B120" s="1">
        <v>119</v>
      </c>
      <c r="C120" s="1" t="s">
        <v>136</v>
      </c>
      <c r="D120" s="1">
        <v>298</v>
      </c>
      <c r="E120" s="1">
        <v>131873</v>
      </c>
      <c r="F120" s="1">
        <v>132020</v>
      </c>
      <c r="G120" s="1">
        <v>16</v>
      </c>
      <c r="H120" s="7">
        <v>263909</v>
      </c>
    </row>
    <row r="121" spans="1:8" x14ac:dyDescent="0.3">
      <c r="A121" s="6" t="s">
        <v>110</v>
      </c>
      <c r="B121" s="1">
        <v>120</v>
      </c>
      <c r="C121" s="1" t="s">
        <v>137</v>
      </c>
      <c r="D121" s="1">
        <v>262</v>
      </c>
      <c r="E121" s="1">
        <v>126544</v>
      </c>
      <c r="F121" s="1">
        <v>116942</v>
      </c>
      <c r="G121" s="1">
        <v>4</v>
      </c>
      <c r="H121" s="7">
        <v>243490</v>
      </c>
    </row>
    <row r="122" spans="1:8" x14ac:dyDescent="0.3">
      <c r="A122" s="6" t="s">
        <v>110</v>
      </c>
      <c r="B122" s="1">
        <v>121</v>
      </c>
      <c r="C122" s="1" t="s">
        <v>138</v>
      </c>
      <c r="D122" s="1">
        <v>279</v>
      </c>
      <c r="E122" s="1">
        <v>135270</v>
      </c>
      <c r="F122" s="1">
        <v>122942</v>
      </c>
      <c r="G122" s="1">
        <v>5</v>
      </c>
      <c r="H122" s="7">
        <v>258217</v>
      </c>
    </row>
    <row r="123" spans="1:8" x14ac:dyDescent="0.3">
      <c r="A123" s="6" t="s">
        <v>110</v>
      </c>
      <c r="B123" s="1">
        <v>122</v>
      </c>
      <c r="C123" s="1" t="s">
        <v>139</v>
      </c>
      <c r="D123" s="1">
        <v>249</v>
      </c>
      <c r="E123" s="1">
        <v>125719</v>
      </c>
      <c r="F123" s="1">
        <v>113889</v>
      </c>
      <c r="G123" s="1">
        <v>4</v>
      </c>
      <c r="H123" s="7">
        <v>239612</v>
      </c>
    </row>
    <row r="124" spans="1:8" x14ac:dyDescent="0.3">
      <c r="A124" s="6" t="s">
        <v>110</v>
      </c>
      <c r="B124" s="1">
        <v>123</v>
      </c>
      <c r="C124" s="1" t="s">
        <v>140</v>
      </c>
      <c r="D124" s="1">
        <v>252</v>
      </c>
      <c r="E124" s="1">
        <v>122056</v>
      </c>
      <c r="F124" s="1">
        <v>112207</v>
      </c>
      <c r="G124" s="1">
        <v>5</v>
      </c>
      <c r="H124" s="7">
        <v>234268</v>
      </c>
    </row>
    <row r="125" spans="1:8" x14ac:dyDescent="0.3">
      <c r="A125" s="6" t="s">
        <v>110</v>
      </c>
      <c r="B125" s="1">
        <v>124</v>
      </c>
      <c r="C125" s="1" t="s">
        <v>141</v>
      </c>
      <c r="D125" s="1">
        <v>290</v>
      </c>
      <c r="E125" s="1">
        <v>136420</v>
      </c>
      <c r="F125" s="1">
        <v>131558</v>
      </c>
      <c r="G125" s="1">
        <v>5</v>
      </c>
      <c r="H125" s="7">
        <v>267983</v>
      </c>
    </row>
    <row r="126" spans="1:8" x14ac:dyDescent="0.3">
      <c r="A126" s="6" t="s">
        <v>110</v>
      </c>
      <c r="B126" s="1">
        <v>125</v>
      </c>
      <c r="C126" s="1" t="s">
        <v>142</v>
      </c>
      <c r="D126" s="1">
        <v>286</v>
      </c>
      <c r="E126" s="1">
        <v>140305</v>
      </c>
      <c r="F126" s="1">
        <v>130467</v>
      </c>
      <c r="G126" s="1">
        <v>3</v>
      </c>
      <c r="H126" s="7">
        <v>270775</v>
      </c>
    </row>
    <row r="127" spans="1:8" x14ac:dyDescent="0.3">
      <c r="A127" s="6" t="s">
        <v>110</v>
      </c>
      <c r="B127" s="1">
        <v>126</v>
      </c>
      <c r="C127" s="1" t="s">
        <v>143</v>
      </c>
      <c r="D127" s="1">
        <v>255</v>
      </c>
      <c r="E127" s="1">
        <v>115525</v>
      </c>
      <c r="F127" s="1">
        <v>108536</v>
      </c>
      <c r="G127" s="1">
        <v>4</v>
      </c>
      <c r="H127" s="7">
        <v>224065</v>
      </c>
    </row>
    <row r="128" spans="1:8" x14ac:dyDescent="0.3">
      <c r="A128" s="6" t="s">
        <v>144</v>
      </c>
      <c r="B128" s="1">
        <v>127</v>
      </c>
      <c r="C128" s="1" t="s">
        <v>145</v>
      </c>
      <c r="D128" s="1">
        <v>260</v>
      </c>
      <c r="E128" s="1">
        <v>116703</v>
      </c>
      <c r="F128" s="1">
        <v>107877</v>
      </c>
      <c r="G128" s="1">
        <v>4</v>
      </c>
      <c r="H128" s="7">
        <v>224584</v>
      </c>
    </row>
    <row r="129" spans="1:8" x14ac:dyDescent="0.3">
      <c r="A129" s="6" t="s">
        <v>144</v>
      </c>
      <c r="B129" s="1">
        <v>128</v>
      </c>
      <c r="C129" s="1" t="s">
        <v>146</v>
      </c>
      <c r="D129" s="1">
        <v>276</v>
      </c>
      <c r="E129" s="1">
        <v>131341</v>
      </c>
      <c r="F129" s="1">
        <v>121229</v>
      </c>
      <c r="G129" s="1">
        <v>2</v>
      </c>
      <c r="H129" s="7">
        <v>252572</v>
      </c>
    </row>
    <row r="130" spans="1:8" x14ac:dyDescent="0.3">
      <c r="A130" s="6" t="s">
        <v>144</v>
      </c>
      <c r="B130" s="1">
        <v>129</v>
      </c>
      <c r="C130" s="1" t="s">
        <v>147</v>
      </c>
      <c r="D130" s="1">
        <v>279</v>
      </c>
      <c r="E130" s="1">
        <v>138478</v>
      </c>
      <c r="F130" s="1">
        <v>124760</v>
      </c>
      <c r="G130" s="1">
        <v>18</v>
      </c>
      <c r="H130" s="7">
        <v>263256</v>
      </c>
    </row>
    <row r="131" spans="1:8" x14ac:dyDescent="0.3">
      <c r="A131" s="6" t="s">
        <v>144</v>
      </c>
      <c r="B131" s="1">
        <v>130</v>
      </c>
      <c r="C131" s="1" t="s">
        <v>148</v>
      </c>
      <c r="D131" s="1">
        <v>288</v>
      </c>
      <c r="E131" s="1">
        <v>138227</v>
      </c>
      <c r="F131" s="1">
        <v>125249</v>
      </c>
      <c r="G131" s="1">
        <v>2</v>
      </c>
      <c r="H131" s="7">
        <v>263478</v>
      </c>
    </row>
    <row r="132" spans="1:8" x14ac:dyDescent="0.3">
      <c r="A132" s="6" t="s">
        <v>144</v>
      </c>
      <c r="B132" s="1">
        <v>131</v>
      </c>
      <c r="C132" s="1" t="s">
        <v>149</v>
      </c>
      <c r="D132" s="1">
        <v>271</v>
      </c>
      <c r="E132" s="1">
        <v>131074</v>
      </c>
      <c r="F132" s="1">
        <v>119529</v>
      </c>
      <c r="G132" s="1">
        <v>4</v>
      </c>
      <c r="H132" s="7">
        <v>250607</v>
      </c>
    </row>
    <row r="133" spans="1:8" x14ac:dyDescent="0.3">
      <c r="A133" s="6" t="s">
        <v>144</v>
      </c>
      <c r="B133" s="1">
        <v>132</v>
      </c>
      <c r="C133" s="1" t="s">
        <v>150</v>
      </c>
      <c r="D133" s="1">
        <v>287</v>
      </c>
      <c r="E133" s="1">
        <v>145384</v>
      </c>
      <c r="F133" s="1">
        <v>131855</v>
      </c>
      <c r="G133" s="1">
        <v>1</v>
      </c>
      <c r="H133" s="7">
        <v>277240</v>
      </c>
    </row>
    <row r="134" spans="1:8" x14ac:dyDescent="0.3">
      <c r="A134" s="6" t="s">
        <v>144</v>
      </c>
      <c r="B134" s="1">
        <v>133</v>
      </c>
      <c r="C134" s="1" t="s">
        <v>151</v>
      </c>
      <c r="D134" s="1">
        <v>247</v>
      </c>
      <c r="E134" s="1">
        <v>113712</v>
      </c>
      <c r="F134" s="1">
        <v>106849</v>
      </c>
      <c r="G134" s="1">
        <v>5</v>
      </c>
      <c r="H134" s="7">
        <v>220566</v>
      </c>
    </row>
    <row r="135" spans="1:8" x14ac:dyDescent="0.3">
      <c r="A135" s="6" t="s">
        <v>144</v>
      </c>
      <c r="B135" s="1">
        <v>134</v>
      </c>
      <c r="C135" s="1" t="s">
        <v>152</v>
      </c>
      <c r="D135" s="1">
        <v>297</v>
      </c>
      <c r="E135" s="1">
        <v>141918</v>
      </c>
      <c r="F135" s="1">
        <v>130893</v>
      </c>
      <c r="G135" s="1">
        <v>5</v>
      </c>
      <c r="H135" s="7">
        <v>272816</v>
      </c>
    </row>
    <row r="136" spans="1:8" x14ac:dyDescent="0.3">
      <c r="A136" s="6" t="s">
        <v>144</v>
      </c>
      <c r="B136" s="1">
        <v>135</v>
      </c>
      <c r="C136" s="1" t="s">
        <v>153</v>
      </c>
      <c r="D136" s="1">
        <v>265</v>
      </c>
      <c r="E136" s="1">
        <v>117989</v>
      </c>
      <c r="F136" s="1">
        <v>109161</v>
      </c>
      <c r="G136" s="1">
        <v>4</v>
      </c>
      <c r="H136" s="7">
        <v>227154</v>
      </c>
    </row>
    <row r="137" spans="1:8" x14ac:dyDescent="0.3">
      <c r="A137" s="6" t="s">
        <v>144</v>
      </c>
      <c r="B137" s="1">
        <v>136</v>
      </c>
      <c r="C137" s="1" t="s">
        <v>154</v>
      </c>
      <c r="D137" s="1">
        <v>259</v>
      </c>
      <c r="E137" s="1">
        <v>119852</v>
      </c>
      <c r="F137" s="1">
        <v>112080</v>
      </c>
      <c r="G137" s="1">
        <v>7</v>
      </c>
      <c r="H137" s="7">
        <v>231939</v>
      </c>
    </row>
    <row r="138" spans="1:8" x14ac:dyDescent="0.3">
      <c r="A138" s="6" t="s">
        <v>144</v>
      </c>
      <c r="B138" s="1">
        <v>137</v>
      </c>
      <c r="C138" s="1" t="s">
        <v>155</v>
      </c>
      <c r="D138" s="1">
        <v>286</v>
      </c>
      <c r="E138" s="1">
        <v>129960</v>
      </c>
      <c r="F138" s="1">
        <v>122055</v>
      </c>
      <c r="G138" s="1">
        <v>11</v>
      </c>
      <c r="H138" s="7">
        <v>252026</v>
      </c>
    </row>
    <row r="139" spans="1:8" x14ac:dyDescent="0.3">
      <c r="A139" s="6" t="s">
        <v>144</v>
      </c>
      <c r="B139" s="1">
        <v>138</v>
      </c>
      <c r="C139" s="1" t="s">
        <v>156</v>
      </c>
      <c r="D139" s="1">
        <v>270</v>
      </c>
      <c r="E139" s="1">
        <v>129275</v>
      </c>
      <c r="F139" s="1">
        <v>120703</v>
      </c>
      <c r="G139" s="1">
        <v>14</v>
      </c>
      <c r="H139" s="7">
        <v>249992</v>
      </c>
    </row>
    <row r="140" spans="1:8" x14ac:dyDescent="0.3">
      <c r="A140" s="6" t="s">
        <v>144</v>
      </c>
      <c r="B140" s="1">
        <v>139</v>
      </c>
      <c r="C140" s="1" t="s">
        <v>157</v>
      </c>
      <c r="D140" s="1">
        <v>273</v>
      </c>
      <c r="E140" s="1">
        <v>134175</v>
      </c>
      <c r="F140" s="1">
        <v>123617</v>
      </c>
      <c r="G140" s="1">
        <v>25</v>
      </c>
      <c r="H140" s="7">
        <v>257817</v>
      </c>
    </row>
    <row r="141" spans="1:8" x14ac:dyDescent="0.3">
      <c r="A141" s="6" t="s">
        <v>144</v>
      </c>
      <c r="B141" s="1">
        <v>140</v>
      </c>
      <c r="C141" s="1" t="s">
        <v>158</v>
      </c>
      <c r="D141" s="1">
        <v>279</v>
      </c>
      <c r="E141" s="1">
        <v>119496</v>
      </c>
      <c r="F141" s="1">
        <v>119481</v>
      </c>
      <c r="G141" s="1">
        <v>22</v>
      </c>
      <c r="H141" s="7">
        <v>238999</v>
      </c>
    </row>
    <row r="142" spans="1:8" x14ac:dyDescent="0.3">
      <c r="A142" s="6" t="s">
        <v>144</v>
      </c>
      <c r="B142" s="1">
        <v>141</v>
      </c>
      <c r="C142" s="1" t="s">
        <v>159</v>
      </c>
      <c r="D142" s="1">
        <v>265</v>
      </c>
      <c r="E142" s="1">
        <v>123742</v>
      </c>
      <c r="F142" s="1">
        <v>114064</v>
      </c>
      <c r="G142" s="1">
        <v>2</v>
      </c>
      <c r="H142" s="7">
        <v>237808</v>
      </c>
    </row>
    <row r="143" spans="1:8" x14ac:dyDescent="0.3">
      <c r="A143" s="6" t="s">
        <v>144</v>
      </c>
      <c r="B143" s="1">
        <v>142</v>
      </c>
      <c r="C143" s="1" t="s">
        <v>160</v>
      </c>
      <c r="D143" s="1">
        <v>246</v>
      </c>
      <c r="E143" s="1">
        <v>118538</v>
      </c>
      <c r="F143" s="1">
        <v>108234</v>
      </c>
      <c r="G143" s="1">
        <v>6</v>
      </c>
      <c r="H143" s="7">
        <v>226778</v>
      </c>
    </row>
    <row r="144" spans="1:8" x14ac:dyDescent="0.3">
      <c r="A144" s="6" t="s">
        <v>144</v>
      </c>
      <c r="B144" s="1">
        <v>143</v>
      </c>
      <c r="C144" s="1" t="s">
        <v>161</v>
      </c>
      <c r="D144" s="1">
        <v>283</v>
      </c>
      <c r="E144" s="1">
        <v>129330</v>
      </c>
      <c r="F144" s="1">
        <v>123681</v>
      </c>
      <c r="G144" s="1">
        <v>4</v>
      </c>
      <c r="H144" s="7">
        <v>253015</v>
      </c>
    </row>
    <row r="145" spans="1:8" x14ac:dyDescent="0.3">
      <c r="A145" s="6" t="s">
        <v>144</v>
      </c>
      <c r="B145" s="1">
        <v>144</v>
      </c>
      <c r="C145" s="1" t="s">
        <v>162</v>
      </c>
      <c r="D145" s="1">
        <v>261</v>
      </c>
      <c r="E145" s="1">
        <v>119866</v>
      </c>
      <c r="F145" s="1">
        <v>113769</v>
      </c>
      <c r="G145" s="1">
        <v>9</v>
      </c>
      <c r="H145" s="7">
        <v>233644</v>
      </c>
    </row>
    <row r="146" spans="1:8" x14ac:dyDescent="0.3">
      <c r="A146" s="6" t="s">
        <v>144</v>
      </c>
      <c r="B146" s="1">
        <v>145</v>
      </c>
      <c r="C146" s="1" t="s">
        <v>163</v>
      </c>
      <c r="D146" s="1">
        <v>309</v>
      </c>
      <c r="E146" s="1">
        <v>133624</v>
      </c>
      <c r="F146" s="1">
        <v>127688</v>
      </c>
      <c r="G146" s="1">
        <v>8</v>
      </c>
      <c r="H146" s="7">
        <v>261320</v>
      </c>
    </row>
    <row r="147" spans="1:8" x14ac:dyDescent="0.3">
      <c r="A147" s="6" t="s">
        <v>144</v>
      </c>
      <c r="B147" s="1">
        <v>146</v>
      </c>
      <c r="C147" s="1" t="s">
        <v>164</v>
      </c>
      <c r="D147" s="1">
        <v>304</v>
      </c>
      <c r="E147" s="1">
        <v>139105</v>
      </c>
      <c r="F147" s="1">
        <v>133596</v>
      </c>
      <c r="G147" s="1">
        <v>19</v>
      </c>
      <c r="H147" s="7">
        <v>272720</v>
      </c>
    </row>
    <row r="148" spans="1:8" x14ac:dyDescent="0.3">
      <c r="A148" s="6" t="s">
        <v>144</v>
      </c>
      <c r="B148" s="1">
        <v>147</v>
      </c>
      <c r="C148" s="1" t="s">
        <v>165</v>
      </c>
      <c r="D148" s="1">
        <v>300</v>
      </c>
      <c r="E148" s="1">
        <v>132281</v>
      </c>
      <c r="F148" s="1">
        <v>135612</v>
      </c>
      <c r="G148" s="1">
        <v>18</v>
      </c>
      <c r="H148" s="7">
        <v>267911</v>
      </c>
    </row>
    <row r="149" spans="1:8" x14ac:dyDescent="0.3">
      <c r="A149" s="6" t="s">
        <v>144</v>
      </c>
      <c r="B149" s="1">
        <v>148</v>
      </c>
      <c r="C149" s="1" t="s">
        <v>166</v>
      </c>
      <c r="D149" s="1">
        <v>286</v>
      </c>
      <c r="E149" s="1">
        <v>141431</v>
      </c>
      <c r="F149" s="1">
        <v>129516</v>
      </c>
      <c r="G149" s="1">
        <v>16</v>
      </c>
      <c r="H149" s="7">
        <v>270963</v>
      </c>
    </row>
    <row r="150" spans="1:8" x14ac:dyDescent="0.3">
      <c r="A150" s="6" t="s">
        <v>144</v>
      </c>
      <c r="B150" s="1">
        <v>149</v>
      </c>
      <c r="C150" s="1" t="s">
        <v>167</v>
      </c>
      <c r="D150" s="1">
        <v>317</v>
      </c>
      <c r="E150" s="1">
        <v>131343</v>
      </c>
      <c r="F150" s="1">
        <v>133653</v>
      </c>
      <c r="G150" s="1">
        <v>7</v>
      </c>
      <c r="H150" s="7">
        <v>265003</v>
      </c>
    </row>
    <row r="151" spans="1:8" x14ac:dyDescent="0.3">
      <c r="A151" s="6" t="s">
        <v>144</v>
      </c>
      <c r="B151" s="1">
        <v>150</v>
      </c>
      <c r="C151" s="1" t="s">
        <v>168</v>
      </c>
      <c r="D151" s="1">
        <v>347</v>
      </c>
      <c r="E151" s="1">
        <v>122304</v>
      </c>
      <c r="F151" s="1">
        <v>133826</v>
      </c>
      <c r="G151" s="1">
        <v>6</v>
      </c>
      <c r="H151" s="7">
        <v>256136</v>
      </c>
    </row>
    <row r="152" spans="1:8" x14ac:dyDescent="0.3">
      <c r="A152" s="6" t="s">
        <v>144</v>
      </c>
      <c r="B152" s="1">
        <v>151</v>
      </c>
      <c r="C152" s="1" t="s">
        <v>169</v>
      </c>
      <c r="D152" s="1">
        <v>323</v>
      </c>
      <c r="E152" s="1">
        <v>141740</v>
      </c>
      <c r="F152" s="1">
        <v>143586</v>
      </c>
      <c r="G152" s="1">
        <v>21</v>
      </c>
      <c r="H152" s="7">
        <v>285347</v>
      </c>
    </row>
    <row r="153" spans="1:8" x14ac:dyDescent="0.3">
      <c r="A153" s="6" t="s">
        <v>144</v>
      </c>
      <c r="B153" s="1">
        <v>152</v>
      </c>
      <c r="C153" s="1" t="s">
        <v>170</v>
      </c>
      <c r="D153" s="1">
        <v>310</v>
      </c>
      <c r="E153" s="1">
        <v>110002</v>
      </c>
      <c r="F153" s="1">
        <v>118438</v>
      </c>
      <c r="G153" s="1">
        <v>8</v>
      </c>
      <c r="H153" s="7">
        <v>228448</v>
      </c>
    </row>
    <row r="154" spans="1:8" x14ac:dyDescent="0.3">
      <c r="A154" s="6" t="s">
        <v>144</v>
      </c>
      <c r="B154" s="1">
        <v>153</v>
      </c>
      <c r="C154" s="1" t="s">
        <v>171</v>
      </c>
      <c r="D154" s="1">
        <v>316</v>
      </c>
      <c r="E154" s="1">
        <v>125521</v>
      </c>
      <c r="F154" s="1">
        <v>133082</v>
      </c>
      <c r="G154" s="1">
        <v>6</v>
      </c>
      <c r="H154" s="7">
        <v>258609</v>
      </c>
    </row>
    <row r="155" spans="1:8" x14ac:dyDescent="0.3">
      <c r="A155" s="6" t="s">
        <v>144</v>
      </c>
      <c r="B155" s="1">
        <v>154</v>
      </c>
      <c r="C155" s="1" t="s">
        <v>172</v>
      </c>
      <c r="D155" s="1">
        <v>350</v>
      </c>
      <c r="E155" s="1">
        <v>127891</v>
      </c>
      <c r="F155" s="1">
        <v>137273</v>
      </c>
      <c r="G155" s="1">
        <v>4</v>
      </c>
      <c r="H155" s="7">
        <v>265168</v>
      </c>
    </row>
    <row r="156" spans="1:8" x14ac:dyDescent="0.3">
      <c r="A156" s="6" t="s">
        <v>144</v>
      </c>
      <c r="B156" s="1">
        <v>155</v>
      </c>
      <c r="C156" s="1" t="s">
        <v>173</v>
      </c>
      <c r="D156" s="1">
        <v>292</v>
      </c>
      <c r="E156" s="1">
        <v>125036</v>
      </c>
      <c r="F156" s="1">
        <v>122692</v>
      </c>
      <c r="G156" s="1">
        <v>13</v>
      </c>
      <c r="H156" s="7">
        <v>247741</v>
      </c>
    </row>
    <row r="157" spans="1:8" x14ac:dyDescent="0.3">
      <c r="A157" s="6" t="s">
        <v>144</v>
      </c>
      <c r="B157" s="1">
        <v>156</v>
      </c>
      <c r="C157" s="1" t="s">
        <v>174</v>
      </c>
      <c r="D157" s="1">
        <v>278</v>
      </c>
      <c r="E157" s="1">
        <v>120828</v>
      </c>
      <c r="F157" s="1">
        <v>117558</v>
      </c>
      <c r="G157" s="1">
        <v>6</v>
      </c>
      <c r="H157" s="7">
        <v>238392</v>
      </c>
    </row>
    <row r="158" spans="1:8" x14ac:dyDescent="0.3">
      <c r="A158" s="6" t="s">
        <v>144</v>
      </c>
      <c r="B158" s="1">
        <v>157</v>
      </c>
      <c r="C158" s="1" t="s">
        <v>175</v>
      </c>
      <c r="D158" s="1">
        <v>235</v>
      </c>
      <c r="E158" s="1">
        <v>119845</v>
      </c>
      <c r="F158" s="1">
        <v>104379</v>
      </c>
      <c r="G158" s="1">
        <v>3</v>
      </c>
      <c r="H158" s="7">
        <v>224227</v>
      </c>
    </row>
    <row r="159" spans="1:8" x14ac:dyDescent="0.3">
      <c r="A159" s="6" t="s">
        <v>176</v>
      </c>
      <c r="B159" s="1">
        <v>158</v>
      </c>
      <c r="C159" s="1" t="s">
        <v>177</v>
      </c>
      <c r="D159" s="1">
        <v>266</v>
      </c>
      <c r="E159" s="1">
        <v>95472</v>
      </c>
      <c r="F159" s="1">
        <v>84258</v>
      </c>
      <c r="G159" s="1">
        <v>5</v>
      </c>
      <c r="H159" s="7">
        <v>179735</v>
      </c>
    </row>
    <row r="160" spans="1:8" x14ac:dyDescent="0.3">
      <c r="A160" s="6" t="s">
        <v>176</v>
      </c>
      <c r="B160" s="1">
        <v>159</v>
      </c>
      <c r="C160" s="1" t="s">
        <v>178</v>
      </c>
      <c r="D160" s="1">
        <v>267</v>
      </c>
      <c r="E160" s="1">
        <v>81846</v>
      </c>
      <c r="F160" s="1">
        <v>79674</v>
      </c>
      <c r="G160" s="1">
        <v>5</v>
      </c>
      <c r="H160" s="7">
        <v>161525</v>
      </c>
    </row>
    <row r="161" spans="1:8" x14ac:dyDescent="0.3">
      <c r="A161" s="6" t="s">
        <v>176</v>
      </c>
      <c r="B161" s="1">
        <v>160</v>
      </c>
      <c r="C161" s="1" t="s">
        <v>179</v>
      </c>
      <c r="D161" s="1">
        <v>268</v>
      </c>
      <c r="E161" s="1">
        <v>76961</v>
      </c>
      <c r="F161" s="1">
        <v>83053</v>
      </c>
      <c r="G161" s="1">
        <v>7</v>
      </c>
      <c r="H161" s="7">
        <v>160021</v>
      </c>
    </row>
    <row r="162" spans="1:8" x14ac:dyDescent="0.3">
      <c r="A162" s="6" t="s">
        <v>176</v>
      </c>
      <c r="B162" s="1">
        <v>161</v>
      </c>
      <c r="C162" s="1" t="s">
        <v>180</v>
      </c>
      <c r="D162" s="1">
        <v>291</v>
      </c>
      <c r="E162" s="1">
        <v>96761</v>
      </c>
      <c r="F162" s="1">
        <v>93258</v>
      </c>
      <c r="G162" s="1">
        <v>6</v>
      </c>
      <c r="H162" s="7">
        <v>190025</v>
      </c>
    </row>
    <row r="163" spans="1:8" x14ac:dyDescent="0.3">
      <c r="A163" s="6" t="s">
        <v>181</v>
      </c>
      <c r="B163" s="1">
        <v>162</v>
      </c>
      <c r="C163" s="1" t="s">
        <v>182</v>
      </c>
      <c r="D163" s="1">
        <v>222</v>
      </c>
      <c r="E163" s="1">
        <v>72340</v>
      </c>
      <c r="F163" s="1">
        <v>63390</v>
      </c>
      <c r="G163" s="1">
        <v>6</v>
      </c>
      <c r="H163" s="7">
        <v>135736</v>
      </c>
    </row>
    <row r="164" spans="1:8" x14ac:dyDescent="0.3">
      <c r="A164" s="6" t="s">
        <v>181</v>
      </c>
      <c r="B164" s="1">
        <v>163</v>
      </c>
      <c r="C164" s="1" t="s">
        <v>183</v>
      </c>
      <c r="D164" s="1">
        <v>260</v>
      </c>
      <c r="E164" s="1">
        <v>97121</v>
      </c>
      <c r="F164" s="1">
        <v>92743</v>
      </c>
      <c r="G164" s="1">
        <v>9</v>
      </c>
      <c r="H164" s="7">
        <v>189873</v>
      </c>
    </row>
    <row r="165" spans="1:8" x14ac:dyDescent="0.3">
      <c r="A165" s="6" t="s">
        <v>181</v>
      </c>
      <c r="B165" s="1">
        <v>164</v>
      </c>
      <c r="C165" s="1" t="s">
        <v>184</v>
      </c>
      <c r="D165" s="1">
        <v>312</v>
      </c>
      <c r="E165" s="1">
        <v>99546</v>
      </c>
      <c r="F165" s="1">
        <v>95907</v>
      </c>
      <c r="G165" s="1">
        <v>6</v>
      </c>
      <c r="H165" s="7">
        <v>195459</v>
      </c>
    </row>
    <row r="166" spans="1:8" x14ac:dyDescent="0.3">
      <c r="A166" s="6" t="s">
        <v>181</v>
      </c>
      <c r="B166" s="1">
        <v>165</v>
      </c>
      <c r="C166" s="1" t="s">
        <v>185</v>
      </c>
      <c r="D166" s="1">
        <v>250</v>
      </c>
      <c r="E166" s="1">
        <v>66822</v>
      </c>
      <c r="F166" s="1">
        <v>58118</v>
      </c>
      <c r="G166" s="1">
        <v>0</v>
      </c>
      <c r="H166" s="7">
        <v>124940</v>
      </c>
    </row>
    <row r="167" spans="1:8" x14ac:dyDescent="0.3">
      <c r="A167" s="6" t="s">
        <v>181</v>
      </c>
      <c r="B167" s="1">
        <v>166</v>
      </c>
      <c r="C167" s="1" t="s">
        <v>186</v>
      </c>
      <c r="D167" s="1">
        <v>221</v>
      </c>
      <c r="E167" s="1">
        <v>67120</v>
      </c>
      <c r="F167" s="1">
        <v>66386</v>
      </c>
      <c r="G167" s="1">
        <v>7</v>
      </c>
      <c r="H167" s="7">
        <v>133513</v>
      </c>
    </row>
    <row r="168" spans="1:8" x14ac:dyDescent="0.3">
      <c r="A168" s="6" t="s">
        <v>181</v>
      </c>
      <c r="B168" s="1">
        <v>167</v>
      </c>
      <c r="C168" s="1" t="s">
        <v>187</v>
      </c>
      <c r="D168" s="1">
        <v>277</v>
      </c>
      <c r="E168" s="1">
        <v>83393</v>
      </c>
      <c r="F168" s="1">
        <v>83643</v>
      </c>
      <c r="G168" s="1">
        <v>8</v>
      </c>
      <c r="H168" s="7">
        <v>167044</v>
      </c>
    </row>
    <row r="169" spans="1:8" x14ac:dyDescent="0.3">
      <c r="A169" s="6" t="s">
        <v>181</v>
      </c>
      <c r="B169" s="1">
        <v>168</v>
      </c>
      <c r="C169" s="1" t="s">
        <v>188</v>
      </c>
      <c r="D169" s="1">
        <v>290</v>
      </c>
      <c r="E169" s="1">
        <v>86314</v>
      </c>
      <c r="F169" s="1">
        <v>83067</v>
      </c>
      <c r="G169" s="1">
        <v>3</v>
      </c>
      <c r="H169" s="7">
        <v>169384</v>
      </c>
    </row>
    <row r="170" spans="1:8" x14ac:dyDescent="0.3">
      <c r="A170" s="6" t="s">
        <v>189</v>
      </c>
      <c r="B170" s="1">
        <v>169</v>
      </c>
      <c r="C170" s="1" t="s">
        <v>190</v>
      </c>
      <c r="D170" s="1">
        <v>196</v>
      </c>
      <c r="E170" s="1">
        <v>73441</v>
      </c>
      <c r="F170" s="1">
        <v>69545</v>
      </c>
      <c r="G170" s="1">
        <v>5</v>
      </c>
      <c r="H170" s="7">
        <v>142991</v>
      </c>
    </row>
    <row r="171" spans="1:8" x14ac:dyDescent="0.3">
      <c r="A171" s="6" t="s">
        <v>189</v>
      </c>
      <c r="B171" s="1">
        <v>170</v>
      </c>
      <c r="C171" s="1" t="s">
        <v>191</v>
      </c>
      <c r="D171" s="1">
        <v>234</v>
      </c>
      <c r="E171" s="1">
        <v>85560</v>
      </c>
      <c r="F171" s="1">
        <v>78164</v>
      </c>
      <c r="G171" s="1">
        <v>8</v>
      </c>
      <c r="H171" s="7">
        <v>163732</v>
      </c>
    </row>
    <row r="172" spans="1:8" x14ac:dyDescent="0.3">
      <c r="A172" s="6" t="s">
        <v>189</v>
      </c>
      <c r="B172" s="1">
        <v>171</v>
      </c>
      <c r="C172" s="1" t="s">
        <v>192</v>
      </c>
      <c r="D172" s="1">
        <v>313</v>
      </c>
      <c r="E172" s="1">
        <v>112811</v>
      </c>
      <c r="F172" s="1">
        <v>109879</v>
      </c>
      <c r="G172" s="1">
        <v>5</v>
      </c>
      <c r="H172" s="7">
        <v>222695</v>
      </c>
    </row>
    <row r="173" spans="1:8" x14ac:dyDescent="0.3">
      <c r="A173" s="6" t="s">
        <v>189</v>
      </c>
      <c r="B173" s="1">
        <v>172</v>
      </c>
      <c r="C173" s="1" t="s">
        <v>193</v>
      </c>
      <c r="D173" s="1">
        <v>240</v>
      </c>
      <c r="E173" s="1">
        <v>100014</v>
      </c>
      <c r="F173" s="1">
        <v>102146</v>
      </c>
      <c r="G173" s="1">
        <v>4</v>
      </c>
      <c r="H173" s="7">
        <v>202164</v>
      </c>
    </row>
    <row r="174" spans="1:8" x14ac:dyDescent="0.3">
      <c r="A174" s="6" t="s">
        <v>189</v>
      </c>
      <c r="B174" s="1">
        <v>173</v>
      </c>
      <c r="C174" s="1" t="s">
        <v>194</v>
      </c>
      <c r="D174" s="1">
        <v>317</v>
      </c>
      <c r="E174" s="1">
        <v>126462</v>
      </c>
      <c r="F174" s="1">
        <v>124027</v>
      </c>
      <c r="G174" s="1">
        <v>2</v>
      </c>
      <c r="H174" s="7">
        <v>250491</v>
      </c>
    </row>
    <row r="175" spans="1:8" x14ac:dyDescent="0.3">
      <c r="A175" s="6" t="s">
        <v>189</v>
      </c>
      <c r="B175" s="1">
        <v>174</v>
      </c>
      <c r="C175" s="1" t="s">
        <v>195</v>
      </c>
      <c r="D175" s="1">
        <v>303</v>
      </c>
      <c r="E175" s="1">
        <v>130500</v>
      </c>
      <c r="F175" s="1">
        <v>124185</v>
      </c>
      <c r="G175" s="1">
        <v>8</v>
      </c>
      <c r="H175" s="7">
        <v>254693</v>
      </c>
    </row>
    <row r="176" spans="1:8" x14ac:dyDescent="0.3">
      <c r="A176" s="6" t="s">
        <v>189</v>
      </c>
      <c r="B176" s="1">
        <v>175</v>
      </c>
      <c r="C176" s="1" t="s">
        <v>196</v>
      </c>
      <c r="D176" s="1">
        <v>292</v>
      </c>
      <c r="E176" s="1">
        <v>131821</v>
      </c>
      <c r="F176" s="1">
        <v>121962</v>
      </c>
      <c r="G176" s="1">
        <v>3</v>
      </c>
      <c r="H176" s="7">
        <v>253786</v>
      </c>
    </row>
    <row r="177" spans="1:8" x14ac:dyDescent="0.3">
      <c r="A177" s="6" t="s">
        <v>189</v>
      </c>
      <c r="B177" s="1">
        <v>176</v>
      </c>
      <c r="C177" s="1" t="s">
        <v>197</v>
      </c>
      <c r="D177" s="1">
        <v>248</v>
      </c>
      <c r="E177" s="1">
        <v>111775</v>
      </c>
      <c r="F177" s="1">
        <v>107687</v>
      </c>
      <c r="G177" s="1">
        <v>8</v>
      </c>
      <c r="H177" s="7">
        <v>219470</v>
      </c>
    </row>
    <row r="178" spans="1:8" x14ac:dyDescent="0.3">
      <c r="A178" s="6" t="s">
        <v>189</v>
      </c>
      <c r="B178" s="1">
        <v>177</v>
      </c>
      <c r="C178" s="1" t="s">
        <v>198</v>
      </c>
      <c r="D178" s="1">
        <v>243</v>
      </c>
      <c r="E178" s="1">
        <v>112956</v>
      </c>
      <c r="F178" s="1">
        <v>104218</v>
      </c>
      <c r="G178" s="1">
        <v>3</v>
      </c>
      <c r="H178" s="7">
        <v>217177</v>
      </c>
    </row>
    <row r="179" spans="1:8" x14ac:dyDescent="0.3">
      <c r="A179" s="6" t="s">
        <v>189</v>
      </c>
      <c r="B179" s="1">
        <v>178</v>
      </c>
      <c r="C179" s="1" t="s">
        <v>199</v>
      </c>
      <c r="D179" s="1">
        <v>263</v>
      </c>
      <c r="E179" s="1">
        <v>122578</v>
      </c>
      <c r="F179" s="1">
        <v>114975</v>
      </c>
      <c r="G179" s="1">
        <v>13</v>
      </c>
      <c r="H179" s="7">
        <v>237566</v>
      </c>
    </row>
    <row r="180" spans="1:8" x14ac:dyDescent="0.3">
      <c r="A180" s="6" t="s">
        <v>189</v>
      </c>
      <c r="B180" s="1">
        <v>179</v>
      </c>
      <c r="C180" s="1" t="s">
        <v>200</v>
      </c>
      <c r="D180" s="1">
        <v>303</v>
      </c>
      <c r="E180" s="1">
        <v>132564</v>
      </c>
      <c r="F180" s="1">
        <v>127037</v>
      </c>
      <c r="G180" s="1">
        <v>4</v>
      </c>
      <c r="H180" s="7">
        <v>259605</v>
      </c>
    </row>
    <row r="181" spans="1:8" x14ac:dyDescent="0.3">
      <c r="A181" s="6" t="s">
        <v>189</v>
      </c>
      <c r="B181" s="1">
        <v>180</v>
      </c>
      <c r="C181" s="1" t="s">
        <v>201</v>
      </c>
      <c r="D181" s="1">
        <v>253</v>
      </c>
      <c r="E181" s="1">
        <v>117592</v>
      </c>
      <c r="F181" s="1">
        <v>112588</v>
      </c>
      <c r="G181" s="1">
        <v>4</v>
      </c>
      <c r="H181" s="7">
        <v>230184</v>
      </c>
    </row>
    <row r="182" spans="1:8" x14ac:dyDescent="0.3">
      <c r="A182" s="6" t="s">
        <v>189</v>
      </c>
      <c r="B182" s="1">
        <v>181</v>
      </c>
      <c r="C182" s="1" t="s">
        <v>202</v>
      </c>
      <c r="D182" s="1">
        <v>292</v>
      </c>
      <c r="E182" s="1">
        <v>130884</v>
      </c>
      <c r="F182" s="1">
        <v>121845</v>
      </c>
      <c r="G182" s="1">
        <v>5</v>
      </c>
      <c r="H182" s="7">
        <v>252734</v>
      </c>
    </row>
    <row r="183" spans="1:8" x14ac:dyDescent="0.3">
      <c r="A183" s="6" t="s">
        <v>189</v>
      </c>
      <c r="B183" s="1">
        <v>182</v>
      </c>
      <c r="C183" s="1" t="s">
        <v>203</v>
      </c>
      <c r="D183" s="1">
        <v>261</v>
      </c>
      <c r="E183" s="1">
        <v>117044</v>
      </c>
      <c r="F183" s="1">
        <v>111747</v>
      </c>
      <c r="G183" s="1">
        <v>0</v>
      </c>
      <c r="H183" s="7">
        <v>228791</v>
      </c>
    </row>
    <row r="184" spans="1:8" x14ac:dyDescent="0.3">
      <c r="A184" s="6" t="s">
        <v>189</v>
      </c>
      <c r="B184" s="1">
        <v>183</v>
      </c>
      <c r="C184" s="1" t="s">
        <v>204</v>
      </c>
      <c r="D184" s="1">
        <v>319</v>
      </c>
      <c r="E184" s="1">
        <v>141002</v>
      </c>
      <c r="F184" s="1">
        <v>134464</v>
      </c>
      <c r="G184" s="1">
        <v>9</v>
      </c>
      <c r="H184" s="7">
        <v>275475</v>
      </c>
    </row>
    <row r="185" spans="1:8" x14ac:dyDescent="0.3">
      <c r="A185" s="6" t="s">
        <v>189</v>
      </c>
      <c r="B185" s="1">
        <v>184</v>
      </c>
      <c r="C185" s="1" t="s">
        <v>205</v>
      </c>
      <c r="D185" s="1">
        <v>316</v>
      </c>
      <c r="E185" s="1">
        <v>142753</v>
      </c>
      <c r="F185" s="1">
        <v>139256</v>
      </c>
      <c r="G185" s="1">
        <v>8</v>
      </c>
      <c r="H185" s="7">
        <v>282017</v>
      </c>
    </row>
    <row r="186" spans="1:8" x14ac:dyDescent="0.3">
      <c r="A186" s="6" t="s">
        <v>206</v>
      </c>
      <c r="B186" s="1">
        <v>185</v>
      </c>
      <c r="C186" s="1" t="s">
        <v>207</v>
      </c>
      <c r="D186" s="1">
        <v>290</v>
      </c>
      <c r="E186" s="1">
        <v>114935</v>
      </c>
      <c r="F186" s="1">
        <v>118326</v>
      </c>
      <c r="G186" s="1">
        <v>5</v>
      </c>
      <c r="H186" s="7">
        <v>233266</v>
      </c>
    </row>
    <row r="187" spans="1:8" x14ac:dyDescent="0.3">
      <c r="A187" s="6" t="s">
        <v>206</v>
      </c>
      <c r="B187" s="1">
        <v>186</v>
      </c>
      <c r="C187" s="1" t="s">
        <v>208</v>
      </c>
      <c r="D187" s="1">
        <v>271</v>
      </c>
      <c r="E187" s="1">
        <v>108247</v>
      </c>
      <c r="F187" s="1">
        <v>106391</v>
      </c>
      <c r="G187" s="1">
        <v>4</v>
      </c>
      <c r="H187" s="7">
        <v>214642</v>
      </c>
    </row>
    <row r="188" spans="1:8" x14ac:dyDescent="0.3">
      <c r="A188" s="6" t="s">
        <v>206</v>
      </c>
      <c r="B188" s="1">
        <v>187</v>
      </c>
      <c r="C188" s="1" t="s">
        <v>209</v>
      </c>
      <c r="D188" s="1">
        <v>291</v>
      </c>
      <c r="E188" s="1">
        <v>113329</v>
      </c>
      <c r="F188" s="1">
        <v>113676</v>
      </c>
      <c r="G188" s="1">
        <v>10</v>
      </c>
      <c r="H188" s="7">
        <v>227015</v>
      </c>
    </row>
    <row r="189" spans="1:8" x14ac:dyDescent="0.3">
      <c r="A189" s="6" t="s">
        <v>206</v>
      </c>
      <c r="B189" s="1">
        <v>188</v>
      </c>
      <c r="C189" s="1" t="s">
        <v>210</v>
      </c>
      <c r="D189" s="1">
        <v>277</v>
      </c>
      <c r="E189" s="1">
        <v>121536</v>
      </c>
      <c r="F189" s="1">
        <v>120494</v>
      </c>
      <c r="G189" s="1">
        <v>6</v>
      </c>
      <c r="H189" s="7">
        <v>242036</v>
      </c>
    </row>
    <row r="190" spans="1:8" x14ac:dyDescent="0.3">
      <c r="A190" s="6" t="s">
        <v>206</v>
      </c>
      <c r="B190" s="1">
        <v>189</v>
      </c>
      <c r="C190" s="1" t="s">
        <v>211</v>
      </c>
      <c r="D190" s="1">
        <v>263</v>
      </c>
      <c r="E190" s="1">
        <v>102265</v>
      </c>
      <c r="F190" s="1">
        <v>105659</v>
      </c>
      <c r="G190" s="1">
        <v>8</v>
      </c>
      <c r="H190" s="7">
        <v>207932</v>
      </c>
    </row>
    <row r="191" spans="1:8" x14ac:dyDescent="0.3">
      <c r="A191" s="6" t="s">
        <v>206</v>
      </c>
      <c r="B191" s="1">
        <v>190</v>
      </c>
      <c r="C191" s="1" t="s">
        <v>212</v>
      </c>
      <c r="D191" s="1">
        <v>361</v>
      </c>
      <c r="E191" s="1">
        <v>142550</v>
      </c>
      <c r="F191" s="1">
        <v>146878</v>
      </c>
      <c r="G191" s="1">
        <v>11</v>
      </c>
      <c r="H191" s="7">
        <v>289439</v>
      </c>
    </row>
    <row r="192" spans="1:8" x14ac:dyDescent="0.3">
      <c r="A192" s="6" t="s">
        <v>206</v>
      </c>
      <c r="B192" s="1">
        <v>191</v>
      </c>
      <c r="C192" s="1" t="s">
        <v>213</v>
      </c>
      <c r="D192" s="1">
        <v>288</v>
      </c>
      <c r="E192" s="1">
        <v>126696</v>
      </c>
      <c r="F192" s="1">
        <v>122851</v>
      </c>
      <c r="G192" s="1">
        <v>6</v>
      </c>
      <c r="H192" s="7">
        <v>249553</v>
      </c>
    </row>
    <row r="193" spans="1:8" x14ac:dyDescent="0.3">
      <c r="A193" s="6" t="s">
        <v>206</v>
      </c>
      <c r="B193" s="1">
        <v>192</v>
      </c>
      <c r="C193" s="1" t="s">
        <v>214</v>
      </c>
      <c r="D193" s="1">
        <v>291</v>
      </c>
      <c r="E193" s="1">
        <v>130960</v>
      </c>
      <c r="F193" s="1">
        <v>130267</v>
      </c>
      <c r="G193" s="1">
        <v>12</v>
      </c>
      <c r="H193" s="7">
        <v>261239</v>
      </c>
    </row>
    <row r="194" spans="1:8" x14ac:dyDescent="0.3">
      <c r="A194" s="6" t="s">
        <v>206</v>
      </c>
      <c r="B194" s="1">
        <v>193</v>
      </c>
      <c r="C194" s="1" t="s">
        <v>215</v>
      </c>
      <c r="D194" s="1">
        <v>256</v>
      </c>
      <c r="E194" s="1">
        <v>110117</v>
      </c>
      <c r="F194" s="1">
        <v>107730</v>
      </c>
      <c r="G194" s="1">
        <v>5</v>
      </c>
      <c r="H194" s="7">
        <v>217852</v>
      </c>
    </row>
    <row r="195" spans="1:8" x14ac:dyDescent="0.3">
      <c r="A195" s="6" t="s">
        <v>206</v>
      </c>
      <c r="B195" s="1">
        <v>194</v>
      </c>
      <c r="C195" s="1" t="s">
        <v>216</v>
      </c>
      <c r="D195" s="1">
        <v>303</v>
      </c>
      <c r="E195" s="1">
        <v>128816</v>
      </c>
      <c r="F195" s="1">
        <v>125258</v>
      </c>
      <c r="G195" s="1">
        <v>3</v>
      </c>
      <c r="H195" s="7">
        <v>254077</v>
      </c>
    </row>
    <row r="196" spans="1:8" x14ac:dyDescent="0.3">
      <c r="A196" s="6" t="s">
        <v>206</v>
      </c>
      <c r="B196" s="1">
        <v>195</v>
      </c>
      <c r="C196" s="1" t="s">
        <v>217</v>
      </c>
      <c r="D196" s="1">
        <v>284</v>
      </c>
      <c r="E196" s="1">
        <v>129441</v>
      </c>
      <c r="F196" s="1">
        <v>124256</v>
      </c>
      <c r="G196" s="1">
        <v>4</v>
      </c>
      <c r="H196" s="7">
        <v>253701</v>
      </c>
    </row>
    <row r="197" spans="1:8" x14ac:dyDescent="0.3">
      <c r="A197" s="6" t="s">
        <v>206</v>
      </c>
      <c r="B197" s="1">
        <v>196</v>
      </c>
      <c r="C197" s="1" t="s">
        <v>218</v>
      </c>
      <c r="D197" s="1">
        <v>301</v>
      </c>
      <c r="E197" s="1">
        <v>132975</v>
      </c>
      <c r="F197" s="1">
        <v>130206</v>
      </c>
      <c r="G197" s="1">
        <v>3</v>
      </c>
      <c r="H197" s="7">
        <v>263184</v>
      </c>
    </row>
    <row r="198" spans="1:8" x14ac:dyDescent="0.3">
      <c r="A198" s="6" t="s">
        <v>206</v>
      </c>
      <c r="B198" s="1">
        <v>197</v>
      </c>
      <c r="C198" s="1" t="s">
        <v>219</v>
      </c>
      <c r="D198" s="1">
        <v>312</v>
      </c>
      <c r="E198" s="1">
        <v>132353</v>
      </c>
      <c r="F198" s="1">
        <v>132277</v>
      </c>
      <c r="G198" s="1">
        <v>2</v>
      </c>
      <c r="H198" s="7">
        <v>264632</v>
      </c>
    </row>
    <row r="199" spans="1:8" x14ac:dyDescent="0.3">
      <c r="A199" s="6" t="s">
        <v>206</v>
      </c>
      <c r="B199" s="1">
        <v>198</v>
      </c>
      <c r="C199" s="1" t="s">
        <v>220</v>
      </c>
      <c r="D199" s="1">
        <v>270</v>
      </c>
      <c r="E199" s="1">
        <v>117879</v>
      </c>
      <c r="F199" s="1">
        <v>117308</v>
      </c>
      <c r="G199" s="1">
        <v>5</v>
      </c>
      <c r="H199" s="7">
        <v>235192</v>
      </c>
    </row>
    <row r="200" spans="1:8" x14ac:dyDescent="0.3">
      <c r="A200" s="6" t="s">
        <v>206</v>
      </c>
      <c r="B200" s="1">
        <v>199</v>
      </c>
      <c r="C200" s="1" t="s">
        <v>221</v>
      </c>
      <c r="D200" s="1">
        <v>297</v>
      </c>
      <c r="E200" s="1">
        <v>133383</v>
      </c>
      <c r="F200" s="1">
        <v>128520</v>
      </c>
      <c r="G200" s="1">
        <v>1</v>
      </c>
      <c r="H200" s="7">
        <v>261904</v>
      </c>
    </row>
    <row r="201" spans="1:8" x14ac:dyDescent="0.3">
      <c r="A201" s="6" t="s">
        <v>206</v>
      </c>
      <c r="B201" s="1">
        <v>200</v>
      </c>
      <c r="C201" s="1" t="s">
        <v>222</v>
      </c>
      <c r="D201" s="1">
        <v>293</v>
      </c>
      <c r="E201" s="1">
        <v>129603</v>
      </c>
      <c r="F201" s="1">
        <v>125686</v>
      </c>
      <c r="G201" s="1">
        <v>2</v>
      </c>
      <c r="H201" s="7">
        <v>255291</v>
      </c>
    </row>
    <row r="202" spans="1:8" x14ac:dyDescent="0.3">
      <c r="A202" s="6" t="s">
        <v>206</v>
      </c>
      <c r="B202" s="1">
        <v>201</v>
      </c>
      <c r="C202" s="1" t="s">
        <v>223</v>
      </c>
      <c r="D202" s="1">
        <v>280</v>
      </c>
      <c r="E202" s="1">
        <v>126886</v>
      </c>
      <c r="F202" s="1">
        <v>121826</v>
      </c>
      <c r="G202" s="1">
        <v>1</v>
      </c>
      <c r="H202" s="7">
        <v>248713</v>
      </c>
    </row>
    <row r="203" spans="1:8" x14ac:dyDescent="0.3">
      <c r="A203" s="6" t="s">
        <v>206</v>
      </c>
      <c r="B203" s="1">
        <v>202</v>
      </c>
      <c r="C203" s="1" t="s">
        <v>224</v>
      </c>
      <c r="D203" s="1">
        <v>309</v>
      </c>
      <c r="E203" s="1">
        <v>142520</v>
      </c>
      <c r="F203" s="1">
        <v>134033</v>
      </c>
      <c r="G203" s="1">
        <v>4</v>
      </c>
      <c r="H203" s="7">
        <v>276557</v>
      </c>
    </row>
    <row r="204" spans="1:8" x14ac:dyDescent="0.3">
      <c r="A204" s="6" t="s">
        <v>225</v>
      </c>
      <c r="B204" s="1">
        <v>203</v>
      </c>
      <c r="C204" s="1" t="s">
        <v>226</v>
      </c>
      <c r="D204" s="1">
        <v>293</v>
      </c>
      <c r="E204" s="1">
        <v>138842</v>
      </c>
      <c r="F204" s="1">
        <v>133688</v>
      </c>
      <c r="G204" s="1">
        <v>7</v>
      </c>
      <c r="H204" s="7">
        <v>272537</v>
      </c>
    </row>
    <row r="205" spans="1:8" x14ac:dyDescent="0.3">
      <c r="A205" s="6" t="s">
        <v>225</v>
      </c>
      <c r="B205" s="1">
        <v>204</v>
      </c>
      <c r="C205" s="1" t="s">
        <v>227</v>
      </c>
      <c r="D205" s="1">
        <v>257</v>
      </c>
      <c r="E205" s="1">
        <v>122091</v>
      </c>
      <c r="F205" s="1">
        <v>115097</v>
      </c>
      <c r="G205" s="1">
        <v>6</v>
      </c>
      <c r="H205" s="7">
        <v>237194</v>
      </c>
    </row>
    <row r="206" spans="1:8" x14ac:dyDescent="0.3">
      <c r="A206" s="6" t="s">
        <v>225</v>
      </c>
      <c r="B206" s="1">
        <v>205</v>
      </c>
      <c r="C206" s="1" t="s">
        <v>228</v>
      </c>
      <c r="D206" s="1">
        <v>308</v>
      </c>
      <c r="E206" s="1">
        <v>143031</v>
      </c>
      <c r="F206" s="1">
        <v>135805</v>
      </c>
      <c r="G206" s="1">
        <v>3</v>
      </c>
      <c r="H206" s="7">
        <v>278839</v>
      </c>
    </row>
    <row r="207" spans="1:8" x14ac:dyDescent="0.3">
      <c r="A207" s="6" t="s">
        <v>225</v>
      </c>
      <c r="B207" s="1">
        <v>206</v>
      </c>
      <c r="C207" s="1" t="s">
        <v>229</v>
      </c>
      <c r="D207" s="1">
        <v>277</v>
      </c>
      <c r="E207" s="1">
        <v>136800</v>
      </c>
      <c r="F207" s="1">
        <v>127165</v>
      </c>
      <c r="G207" s="1">
        <v>3</v>
      </c>
      <c r="H207" s="7">
        <v>263968</v>
      </c>
    </row>
    <row r="208" spans="1:8" x14ac:dyDescent="0.3">
      <c r="A208" s="6" t="s">
        <v>225</v>
      </c>
      <c r="B208" s="1">
        <v>207</v>
      </c>
      <c r="C208" s="1" t="s">
        <v>230</v>
      </c>
      <c r="D208" s="1">
        <v>274</v>
      </c>
      <c r="E208" s="1">
        <v>135642</v>
      </c>
      <c r="F208" s="1">
        <v>127962</v>
      </c>
      <c r="G208" s="1">
        <v>3</v>
      </c>
      <c r="H208" s="7">
        <v>263607</v>
      </c>
    </row>
    <row r="209" spans="1:8" x14ac:dyDescent="0.3">
      <c r="A209" s="6" t="s">
        <v>225</v>
      </c>
      <c r="B209" s="1">
        <v>208</v>
      </c>
      <c r="C209" s="1" t="s">
        <v>231</v>
      </c>
      <c r="D209" s="1">
        <v>269</v>
      </c>
      <c r="E209" s="1">
        <v>129066</v>
      </c>
      <c r="F209" s="1">
        <v>122965</v>
      </c>
      <c r="G209" s="1">
        <v>2</v>
      </c>
      <c r="H209" s="7">
        <v>252033</v>
      </c>
    </row>
    <row r="210" spans="1:8" x14ac:dyDescent="0.3">
      <c r="A210" s="6" t="s">
        <v>225</v>
      </c>
      <c r="B210" s="1">
        <v>209</v>
      </c>
      <c r="C210" s="1" t="s">
        <v>232</v>
      </c>
      <c r="D210" s="1">
        <v>272</v>
      </c>
      <c r="E210" s="1">
        <v>129251</v>
      </c>
      <c r="F210" s="1">
        <v>122375</v>
      </c>
      <c r="G210" s="1">
        <v>12</v>
      </c>
      <c r="H210" s="7">
        <v>251638</v>
      </c>
    </row>
    <row r="211" spans="1:8" x14ac:dyDescent="0.3">
      <c r="A211" s="6" t="s">
        <v>225</v>
      </c>
      <c r="B211" s="1">
        <v>210</v>
      </c>
      <c r="C211" s="1" t="s">
        <v>233</v>
      </c>
      <c r="D211" s="1">
        <v>286</v>
      </c>
      <c r="E211" s="1">
        <v>139477</v>
      </c>
      <c r="F211" s="1">
        <v>128130</v>
      </c>
      <c r="G211" s="1">
        <v>1</v>
      </c>
      <c r="H211" s="7">
        <v>267608</v>
      </c>
    </row>
    <row r="212" spans="1:8" x14ac:dyDescent="0.3">
      <c r="A212" s="6" t="s">
        <v>225</v>
      </c>
      <c r="B212" s="1">
        <v>211</v>
      </c>
      <c r="C212" s="1" t="s">
        <v>234</v>
      </c>
      <c r="D212" s="1">
        <v>258</v>
      </c>
      <c r="E212" s="1">
        <v>132071</v>
      </c>
      <c r="F212" s="1">
        <v>123054</v>
      </c>
      <c r="G212" s="1">
        <v>0</v>
      </c>
      <c r="H212" s="7">
        <v>255125</v>
      </c>
    </row>
    <row r="213" spans="1:8" x14ac:dyDescent="0.3">
      <c r="A213" s="6" t="s">
        <v>225</v>
      </c>
      <c r="B213" s="1">
        <v>212</v>
      </c>
      <c r="C213" s="1" t="s">
        <v>235</v>
      </c>
      <c r="D213" s="1">
        <v>249</v>
      </c>
      <c r="E213" s="1">
        <v>127431</v>
      </c>
      <c r="F213" s="1">
        <v>118029</v>
      </c>
      <c r="G213" s="1">
        <v>1</v>
      </c>
      <c r="H213" s="7">
        <v>245461</v>
      </c>
    </row>
    <row r="214" spans="1:8" x14ac:dyDescent="0.3">
      <c r="A214" s="6" t="s">
        <v>225</v>
      </c>
      <c r="B214" s="1">
        <v>213</v>
      </c>
      <c r="C214" s="1" t="s">
        <v>236</v>
      </c>
      <c r="D214" s="1">
        <v>290</v>
      </c>
      <c r="E214" s="1">
        <v>136163</v>
      </c>
      <c r="F214" s="1">
        <v>126627</v>
      </c>
      <c r="G214" s="1">
        <v>0</v>
      </c>
      <c r="H214" s="7">
        <v>262790</v>
      </c>
    </row>
    <row r="215" spans="1:8" x14ac:dyDescent="0.3">
      <c r="A215" s="6" t="s">
        <v>225</v>
      </c>
      <c r="B215" s="1">
        <v>214</v>
      </c>
      <c r="C215" s="1" t="s">
        <v>237</v>
      </c>
      <c r="D215" s="1">
        <v>280</v>
      </c>
      <c r="E215" s="1">
        <v>135867</v>
      </c>
      <c r="F215" s="1">
        <v>125675</v>
      </c>
      <c r="G215" s="1">
        <v>2</v>
      </c>
      <c r="H215" s="7">
        <v>261544</v>
      </c>
    </row>
    <row r="216" spans="1:8" x14ac:dyDescent="0.3">
      <c r="A216" s="6" t="s">
        <v>225</v>
      </c>
      <c r="B216" s="1">
        <v>215</v>
      </c>
      <c r="C216" s="1" t="s">
        <v>238</v>
      </c>
      <c r="D216" s="1">
        <v>254</v>
      </c>
      <c r="E216" s="1">
        <v>128185</v>
      </c>
      <c r="F216" s="1">
        <v>117428</v>
      </c>
      <c r="G216" s="1">
        <v>0</v>
      </c>
      <c r="H216" s="7">
        <v>245613</v>
      </c>
    </row>
    <row r="217" spans="1:8" x14ac:dyDescent="0.3">
      <c r="A217" s="6" t="s">
        <v>225</v>
      </c>
      <c r="B217" s="1">
        <v>216</v>
      </c>
      <c r="C217" s="1" t="s">
        <v>239</v>
      </c>
      <c r="D217" s="1">
        <v>262</v>
      </c>
      <c r="E217" s="1">
        <v>114648</v>
      </c>
      <c r="F217" s="1">
        <v>110887</v>
      </c>
      <c r="G217" s="1">
        <v>0</v>
      </c>
      <c r="H217" s="7">
        <v>225535</v>
      </c>
    </row>
    <row r="218" spans="1:8" x14ac:dyDescent="0.3">
      <c r="A218" s="6" t="s">
        <v>225</v>
      </c>
      <c r="B218" s="1">
        <v>217</v>
      </c>
      <c r="C218" s="1" t="s">
        <v>240</v>
      </c>
      <c r="D218" s="1">
        <v>283</v>
      </c>
      <c r="E218" s="1">
        <v>136776</v>
      </c>
      <c r="F218" s="1">
        <v>130725</v>
      </c>
      <c r="G218" s="1">
        <v>4</v>
      </c>
      <c r="H218" s="7">
        <v>267505</v>
      </c>
    </row>
    <row r="219" spans="1:8" x14ac:dyDescent="0.3">
      <c r="A219" s="6" t="s">
        <v>225</v>
      </c>
      <c r="B219" s="1">
        <v>218</v>
      </c>
      <c r="C219" s="1" t="s">
        <v>241</v>
      </c>
      <c r="D219" s="1">
        <v>308</v>
      </c>
      <c r="E219" s="1">
        <v>149606</v>
      </c>
      <c r="F219" s="1">
        <v>140808</v>
      </c>
      <c r="G219" s="1">
        <v>1</v>
      </c>
      <c r="H219" s="7">
        <v>290415</v>
      </c>
    </row>
    <row r="220" spans="1:8" x14ac:dyDescent="0.3">
      <c r="A220" s="6" t="s">
        <v>242</v>
      </c>
      <c r="B220" s="1">
        <v>219</v>
      </c>
      <c r="C220" s="1" t="s">
        <v>243</v>
      </c>
      <c r="D220" s="1">
        <v>271</v>
      </c>
      <c r="E220" s="1">
        <v>122367</v>
      </c>
      <c r="F220" s="1">
        <v>114136</v>
      </c>
      <c r="G220" s="1">
        <v>0</v>
      </c>
      <c r="H220" s="7">
        <v>236503</v>
      </c>
    </row>
    <row r="221" spans="1:8" x14ac:dyDescent="0.3">
      <c r="A221" s="6" t="s">
        <v>244</v>
      </c>
      <c r="B221" s="1">
        <v>220</v>
      </c>
      <c r="C221" s="1" t="s">
        <v>245</v>
      </c>
      <c r="D221" s="1">
        <v>266</v>
      </c>
      <c r="E221" s="1">
        <v>115226</v>
      </c>
      <c r="F221" s="1">
        <v>109407</v>
      </c>
      <c r="G221" s="1">
        <v>1</v>
      </c>
      <c r="H221" s="7">
        <v>224634</v>
      </c>
    </row>
    <row r="222" spans="1:8" x14ac:dyDescent="0.3">
      <c r="A222" s="6" t="s">
        <v>244</v>
      </c>
      <c r="B222" s="1">
        <v>221</v>
      </c>
      <c r="C222" s="1" t="s">
        <v>246</v>
      </c>
      <c r="D222" s="1">
        <v>287</v>
      </c>
      <c r="E222" s="1">
        <v>113934</v>
      </c>
      <c r="F222" s="1">
        <v>111787</v>
      </c>
      <c r="G222" s="1">
        <v>0</v>
      </c>
      <c r="H222" s="7">
        <v>225721</v>
      </c>
    </row>
    <row r="223" spans="1:8" x14ac:dyDescent="0.3">
      <c r="A223" s="6" t="s">
        <v>244</v>
      </c>
      <c r="B223" s="1">
        <v>222</v>
      </c>
      <c r="C223" s="1" t="s">
        <v>247</v>
      </c>
      <c r="D223" s="1">
        <v>263</v>
      </c>
      <c r="E223" s="1">
        <v>115560</v>
      </c>
      <c r="F223" s="1">
        <v>117117</v>
      </c>
      <c r="G223" s="1">
        <v>3</v>
      </c>
      <c r="H223" s="7">
        <v>232680</v>
      </c>
    </row>
    <row r="224" spans="1:8" x14ac:dyDescent="0.3">
      <c r="A224" s="6" t="s">
        <v>242</v>
      </c>
      <c r="B224" s="1">
        <v>223</v>
      </c>
      <c r="C224" s="1" t="s">
        <v>248</v>
      </c>
      <c r="D224" s="1">
        <v>275</v>
      </c>
      <c r="E224" s="1">
        <v>122639</v>
      </c>
      <c r="F224" s="1">
        <v>116928</v>
      </c>
      <c r="G224" s="1">
        <v>0</v>
      </c>
      <c r="H224" s="7">
        <v>239567</v>
      </c>
    </row>
    <row r="225" spans="1:8" x14ac:dyDescent="0.3">
      <c r="A225" s="6" t="s">
        <v>242</v>
      </c>
      <c r="B225" s="1">
        <v>224</v>
      </c>
      <c r="C225" s="1" t="s">
        <v>249</v>
      </c>
      <c r="D225" s="1">
        <v>270</v>
      </c>
      <c r="E225" s="1">
        <v>95558</v>
      </c>
      <c r="F225" s="1">
        <v>100378</v>
      </c>
      <c r="G225" s="1">
        <v>11</v>
      </c>
      <c r="H225" s="7">
        <v>195947</v>
      </c>
    </row>
    <row r="226" spans="1:8" x14ac:dyDescent="0.3">
      <c r="A226" s="6" t="s">
        <v>242</v>
      </c>
      <c r="B226" s="1">
        <v>225</v>
      </c>
      <c r="C226" s="1" t="s">
        <v>250</v>
      </c>
      <c r="D226" s="1">
        <v>270</v>
      </c>
      <c r="E226" s="1">
        <v>123679</v>
      </c>
      <c r="F226" s="1">
        <v>118336</v>
      </c>
      <c r="G226" s="1">
        <v>0</v>
      </c>
      <c r="H226" s="7">
        <v>242015</v>
      </c>
    </row>
    <row r="227" spans="1:8" x14ac:dyDescent="0.3">
      <c r="A227" s="6" t="s">
        <v>242</v>
      </c>
      <c r="B227" s="1">
        <v>226</v>
      </c>
      <c r="C227" s="1" t="s">
        <v>251</v>
      </c>
      <c r="D227" s="1">
        <v>306</v>
      </c>
      <c r="E227" s="1">
        <v>140766</v>
      </c>
      <c r="F227" s="1">
        <v>131608</v>
      </c>
      <c r="G227" s="1">
        <v>1</v>
      </c>
      <c r="H227" s="7">
        <v>272375</v>
      </c>
    </row>
    <row r="228" spans="1:8" x14ac:dyDescent="0.3">
      <c r="A228" s="6" t="s">
        <v>242</v>
      </c>
      <c r="B228" s="1">
        <v>227</v>
      </c>
      <c r="C228" s="1" t="s">
        <v>252</v>
      </c>
      <c r="D228" s="1">
        <v>283</v>
      </c>
      <c r="E228" s="1">
        <v>130495</v>
      </c>
      <c r="F228" s="1">
        <v>125419</v>
      </c>
      <c r="G228" s="1">
        <v>1</v>
      </c>
      <c r="H228" s="7">
        <v>255915</v>
      </c>
    </row>
    <row r="229" spans="1:8" x14ac:dyDescent="0.3">
      <c r="A229" s="6" t="s">
        <v>242</v>
      </c>
      <c r="B229" s="1">
        <v>228</v>
      </c>
      <c r="C229" s="1" t="s">
        <v>253</v>
      </c>
      <c r="D229" s="1">
        <v>247</v>
      </c>
      <c r="E229" s="1">
        <v>112836</v>
      </c>
      <c r="F229" s="1">
        <v>111860</v>
      </c>
      <c r="G229" s="1">
        <v>3</v>
      </c>
      <c r="H229" s="7">
        <v>224699</v>
      </c>
    </row>
    <row r="230" spans="1:8" x14ac:dyDescent="0.3">
      <c r="A230" s="6" t="s">
        <v>242</v>
      </c>
      <c r="B230" s="1">
        <v>229</v>
      </c>
      <c r="C230" s="1" t="s">
        <v>254</v>
      </c>
      <c r="D230" s="1">
        <v>265</v>
      </c>
      <c r="E230" s="1">
        <v>116621</v>
      </c>
      <c r="F230" s="1">
        <v>115235</v>
      </c>
      <c r="G230" s="1">
        <v>5</v>
      </c>
      <c r="H230" s="7">
        <v>231861</v>
      </c>
    </row>
    <row r="231" spans="1:8" x14ac:dyDescent="0.3">
      <c r="A231" s="6" t="s">
        <v>242</v>
      </c>
      <c r="B231" s="1">
        <v>230</v>
      </c>
      <c r="C231" s="1" t="s">
        <v>255</v>
      </c>
      <c r="D231" s="1">
        <v>331</v>
      </c>
      <c r="E231" s="1">
        <v>151007</v>
      </c>
      <c r="F231" s="1">
        <v>147201</v>
      </c>
      <c r="G231" s="1">
        <v>0</v>
      </c>
      <c r="H231" s="7">
        <v>298208</v>
      </c>
    </row>
    <row r="232" spans="1:8" x14ac:dyDescent="0.3">
      <c r="A232" s="6" t="s">
        <v>242</v>
      </c>
      <c r="B232" s="1">
        <v>231</v>
      </c>
      <c r="C232" s="1" t="s">
        <v>256</v>
      </c>
      <c r="D232" s="1">
        <v>320</v>
      </c>
      <c r="E232" s="1">
        <v>143212</v>
      </c>
      <c r="F232" s="1">
        <v>136899</v>
      </c>
      <c r="G232" s="1">
        <v>2</v>
      </c>
      <c r="H232" s="7">
        <v>280113</v>
      </c>
    </row>
    <row r="233" spans="1:8" x14ac:dyDescent="0.3">
      <c r="A233" s="6" t="s">
        <v>242</v>
      </c>
      <c r="B233" s="1">
        <v>232</v>
      </c>
      <c r="C233" s="1" t="s">
        <v>257</v>
      </c>
      <c r="D233" s="1">
        <v>329</v>
      </c>
      <c r="E233" s="1">
        <v>145344</v>
      </c>
      <c r="F233" s="1">
        <v>138649</v>
      </c>
      <c r="G233" s="1">
        <v>0</v>
      </c>
      <c r="H233" s="7">
        <v>283993</v>
      </c>
    </row>
    <row r="234" spans="1:8" x14ac:dyDescent="0.3">
      <c r="A234" s="6" t="s">
        <v>242</v>
      </c>
      <c r="B234" s="1">
        <v>233</v>
      </c>
      <c r="C234" s="1" t="s">
        <v>258</v>
      </c>
      <c r="D234" s="1">
        <v>266</v>
      </c>
      <c r="E234" s="1">
        <v>120274</v>
      </c>
      <c r="F234" s="1">
        <v>115444</v>
      </c>
      <c r="G234" s="1">
        <v>1</v>
      </c>
      <c r="H234" s="7">
        <v>235719</v>
      </c>
    </row>
    <row r="235" spans="1:8" x14ac:dyDescent="0.3">
      <c r="A235" s="6" t="s">
        <v>242</v>
      </c>
      <c r="B235" s="1">
        <v>234</v>
      </c>
      <c r="C235" s="1" t="s">
        <v>259</v>
      </c>
      <c r="D235" s="1">
        <v>314</v>
      </c>
      <c r="E235" s="1">
        <v>140667</v>
      </c>
      <c r="F235" s="1">
        <v>138470</v>
      </c>
      <c r="G235" s="1">
        <v>2</v>
      </c>
      <c r="H235" s="7">
        <v>279139</v>
      </c>
    </row>
    <row r="236" spans="1:8" x14ac:dyDescent="0.3">
      <c r="A236" s="6" t="s">
        <v>242</v>
      </c>
      <c r="B236" s="1">
        <v>235</v>
      </c>
      <c r="C236" s="1" t="s">
        <v>260</v>
      </c>
      <c r="D236" s="1">
        <v>282</v>
      </c>
      <c r="E236" s="1">
        <v>138813</v>
      </c>
      <c r="F236" s="1">
        <v>128763</v>
      </c>
      <c r="G236" s="1">
        <v>0</v>
      </c>
      <c r="H236" s="7">
        <v>267576</v>
      </c>
    </row>
    <row r="237" spans="1:8" x14ac:dyDescent="0.3">
      <c r="A237" s="6" t="s">
        <v>242</v>
      </c>
      <c r="B237" s="1">
        <v>236</v>
      </c>
      <c r="C237" s="1" t="s">
        <v>261</v>
      </c>
      <c r="D237" s="1">
        <v>304</v>
      </c>
      <c r="E237" s="1">
        <v>132670</v>
      </c>
      <c r="F237" s="1">
        <v>136255</v>
      </c>
      <c r="G237" s="1">
        <v>1</v>
      </c>
      <c r="H237" s="7">
        <v>268926</v>
      </c>
    </row>
    <row r="238" spans="1:8" x14ac:dyDescent="0.3">
      <c r="A238" s="6" t="s">
        <v>244</v>
      </c>
      <c r="B238" s="1">
        <v>237</v>
      </c>
      <c r="C238" s="1" t="s">
        <v>262</v>
      </c>
      <c r="D238" s="1">
        <v>285</v>
      </c>
      <c r="E238" s="1">
        <v>109227</v>
      </c>
      <c r="F238" s="1">
        <v>109750</v>
      </c>
      <c r="G238" s="1">
        <v>2</v>
      </c>
      <c r="H238" s="7">
        <v>218979</v>
      </c>
    </row>
    <row r="239" spans="1:8" x14ac:dyDescent="0.3">
      <c r="A239" s="6" t="s">
        <v>263</v>
      </c>
      <c r="B239" s="1">
        <v>238</v>
      </c>
      <c r="C239" s="1" t="s">
        <v>264</v>
      </c>
      <c r="D239" s="1">
        <v>343</v>
      </c>
      <c r="E239" s="1">
        <v>144319</v>
      </c>
      <c r="F239" s="1">
        <v>139804</v>
      </c>
      <c r="G239" s="1">
        <v>0</v>
      </c>
      <c r="H239" s="7">
        <v>284123</v>
      </c>
    </row>
    <row r="240" spans="1:8" x14ac:dyDescent="0.3">
      <c r="A240" s="6" t="s">
        <v>263</v>
      </c>
      <c r="B240" s="1">
        <v>239</v>
      </c>
      <c r="C240" s="1" t="s">
        <v>265</v>
      </c>
      <c r="D240" s="1">
        <v>254</v>
      </c>
      <c r="E240" s="1">
        <v>121394</v>
      </c>
      <c r="F240" s="1">
        <v>112788</v>
      </c>
      <c r="G240" s="1">
        <v>3</v>
      </c>
      <c r="H240" s="7">
        <v>234185</v>
      </c>
    </row>
    <row r="241" spans="1:8" x14ac:dyDescent="0.3">
      <c r="A241" s="6" t="s">
        <v>263</v>
      </c>
      <c r="B241" s="1">
        <v>240</v>
      </c>
      <c r="C241" s="1" t="s">
        <v>266</v>
      </c>
      <c r="D241" s="1">
        <v>274</v>
      </c>
      <c r="E241" s="1">
        <v>128767</v>
      </c>
      <c r="F241" s="1">
        <v>120110</v>
      </c>
      <c r="G241" s="1">
        <v>4</v>
      </c>
      <c r="H241" s="7">
        <v>248881</v>
      </c>
    </row>
    <row r="242" spans="1:8" x14ac:dyDescent="0.3">
      <c r="A242" s="6" t="s">
        <v>263</v>
      </c>
      <c r="B242" s="1">
        <v>241</v>
      </c>
      <c r="C242" s="1" t="s">
        <v>267</v>
      </c>
      <c r="D242" s="1">
        <v>273</v>
      </c>
      <c r="E242" s="1">
        <v>131209</v>
      </c>
      <c r="F242" s="1">
        <v>121205</v>
      </c>
      <c r="G242" s="1">
        <v>2</v>
      </c>
      <c r="H242" s="7">
        <v>252416</v>
      </c>
    </row>
    <row r="243" spans="1:8" x14ac:dyDescent="0.3">
      <c r="A243" s="6" t="s">
        <v>263</v>
      </c>
      <c r="B243" s="1">
        <v>242</v>
      </c>
      <c r="C243" s="1" t="s">
        <v>268</v>
      </c>
      <c r="D243" s="1">
        <v>274</v>
      </c>
      <c r="E243" s="1">
        <v>127576</v>
      </c>
      <c r="F243" s="1">
        <v>122191</v>
      </c>
      <c r="G243" s="1">
        <v>3</v>
      </c>
      <c r="H243" s="7">
        <v>249770</v>
      </c>
    </row>
    <row r="244" spans="1:8" x14ac:dyDescent="0.3">
      <c r="A244" s="6" t="s">
        <v>263</v>
      </c>
      <c r="B244" s="1">
        <v>243</v>
      </c>
      <c r="C244" s="1" t="s">
        <v>269</v>
      </c>
      <c r="D244" s="1">
        <v>290</v>
      </c>
      <c r="E244" s="1">
        <v>127843</v>
      </c>
      <c r="F244" s="1">
        <v>124359</v>
      </c>
      <c r="G244" s="1">
        <v>1</v>
      </c>
      <c r="H244" s="7">
        <v>252203</v>
      </c>
    </row>
    <row r="245" spans="1:8" x14ac:dyDescent="0.3">
      <c r="A245" s="6" t="s">
        <v>263</v>
      </c>
      <c r="B245" s="1">
        <v>244</v>
      </c>
      <c r="C245" s="1" t="s">
        <v>270</v>
      </c>
      <c r="D245" s="1">
        <v>275</v>
      </c>
      <c r="E245" s="1">
        <v>115799</v>
      </c>
      <c r="F245" s="1">
        <v>112341</v>
      </c>
      <c r="G245" s="1">
        <v>0</v>
      </c>
      <c r="H245" s="7">
        <v>228140</v>
      </c>
    </row>
    <row r="246" spans="1:8" x14ac:dyDescent="0.3">
      <c r="A246" s="6" t="s">
        <v>263</v>
      </c>
      <c r="B246" s="1">
        <v>245</v>
      </c>
      <c r="C246" s="1" t="s">
        <v>271</v>
      </c>
      <c r="D246" s="1">
        <v>266</v>
      </c>
      <c r="E246" s="1">
        <v>122389</v>
      </c>
      <c r="F246" s="1">
        <v>112515</v>
      </c>
      <c r="G246" s="1">
        <v>0</v>
      </c>
      <c r="H246" s="7">
        <v>234904</v>
      </c>
    </row>
    <row r="247" spans="1:8" x14ac:dyDescent="0.3">
      <c r="A247" s="6" t="s">
        <v>263</v>
      </c>
      <c r="B247" s="1">
        <v>246</v>
      </c>
      <c r="C247" s="1" t="s">
        <v>272</v>
      </c>
      <c r="D247" s="1">
        <v>280</v>
      </c>
      <c r="E247" s="1">
        <v>129241</v>
      </c>
      <c r="F247" s="1">
        <v>124162</v>
      </c>
      <c r="G247" s="1">
        <v>1</v>
      </c>
      <c r="H247" s="7">
        <v>253404</v>
      </c>
    </row>
    <row r="248" spans="1:8" x14ac:dyDescent="0.3">
      <c r="A248" s="6" t="s">
        <v>273</v>
      </c>
      <c r="B248" s="1">
        <v>247</v>
      </c>
      <c r="C248" s="1" t="s">
        <v>274</v>
      </c>
      <c r="D248" s="1">
        <v>267</v>
      </c>
      <c r="E248" s="1">
        <v>119486</v>
      </c>
      <c r="F248" s="1">
        <v>112711</v>
      </c>
      <c r="G248" s="1">
        <v>0</v>
      </c>
      <c r="H248" s="7">
        <v>232197</v>
      </c>
    </row>
    <row r="249" spans="1:8" x14ac:dyDescent="0.3">
      <c r="A249" s="6" t="s">
        <v>273</v>
      </c>
      <c r="B249" s="1">
        <v>248</v>
      </c>
      <c r="C249" s="1" t="s">
        <v>275</v>
      </c>
      <c r="D249" s="1">
        <v>274</v>
      </c>
      <c r="E249" s="1">
        <v>123392</v>
      </c>
      <c r="F249" s="1">
        <v>117062</v>
      </c>
      <c r="G249" s="1">
        <v>0</v>
      </c>
      <c r="H249" s="7">
        <v>240454</v>
      </c>
    </row>
    <row r="250" spans="1:8" x14ac:dyDescent="0.3">
      <c r="A250" s="6" t="s">
        <v>273</v>
      </c>
      <c r="B250" s="1">
        <v>249</v>
      </c>
      <c r="C250" s="1" t="s">
        <v>276</v>
      </c>
      <c r="D250" s="1">
        <v>291</v>
      </c>
      <c r="E250" s="1">
        <v>127859</v>
      </c>
      <c r="F250" s="1">
        <v>125282</v>
      </c>
      <c r="G250" s="1">
        <v>0</v>
      </c>
      <c r="H250" s="7">
        <v>253141</v>
      </c>
    </row>
    <row r="251" spans="1:8" x14ac:dyDescent="0.3">
      <c r="A251" s="6" t="s">
        <v>273</v>
      </c>
      <c r="B251" s="1">
        <v>250</v>
      </c>
      <c r="C251" s="1" t="s">
        <v>277</v>
      </c>
      <c r="D251" s="1">
        <v>258</v>
      </c>
      <c r="E251" s="1">
        <v>112081</v>
      </c>
      <c r="F251" s="1">
        <v>109972</v>
      </c>
      <c r="G251" s="1">
        <v>0</v>
      </c>
      <c r="H251" s="7">
        <v>222053</v>
      </c>
    </row>
    <row r="252" spans="1:8" x14ac:dyDescent="0.3">
      <c r="A252" s="6" t="s">
        <v>273</v>
      </c>
      <c r="B252" s="1">
        <v>251</v>
      </c>
      <c r="C252" s="1" t="s">
        <v>278</v>
      </c>
      <c r="D252" s="1">
        <v>264</v>
      </c>
      <c r="E252" s="1">
        <v>119838</v>
      </c>
      <c r="F252" s="1">
        <v>114769</v>
      </c>
      <c r="G252" s="1">
        <v>0</v>
      </c>
      <c r="H252" s="7">
        <v>234607</v>
      </c>
    </row>
    <row r="253" spans="1:8" x14ac:dyDescent="0.3">
      <c r="A253" s="6" t="s">
        <v>273</v>
      </c>
      <c r="B253" s="1">
        <v>252</v>
      </c>
      <c r="C253" s="1" t="s">
        <v>279</v>
      </c>
      <c r="D253" s="1">
        <v>310</v>
      </c>
      <c r="E253" s="1">
        <v>129703</v>
      </c>
      <c r="F253" s="1">
        <v>129288</v>
      </c>
      <c r="G253" s="1">
        <v>0</v>
      </c>
      <c r="H253" s="7">
        <v>258991</v>
      </c>
    </row>
    <row r="254" spans="1:8" x14ac:dyDescent="0.3">
      <c r="A254" s="6" t="s">
        <v>273</v>
      </c>
      <c r="B254" s="1">
        <v>253</v>
      </c>
      <c r="C254" s="1" t="s">
        <v>280</v>
      </c>
      <c r="D254" s="1">
        <v>297</v>
      </c>
      <c r="E254" s="1">
        <v>127804</v>
      </c>
      <c r="F254" s="1">
        <v>122548</v>
      </c>
      <c r="G254" s="1">
        <v>1</v>
      </c>
      <c r="H254" s="7">
        <v>250353</v>
      </c>
    </row>
    <row r="255" spans="1:8" x14ac:dyDescent="0.3">
      <c r="A255" s="6" t="s">
        <v>273</v>
      </c>
      <c r="B255" s="1">
        <v>254</v>
      </c>
      <c r="C255" s="1" t="s">
        <v>281</v>
      </c>
      <c r="D255" s="1">
        <v>289</v>
      </c>
      <c r="E255" s="1">
        <v>133610</v>
      </c>
      <c r="F255" s="1">
        <v>127115</v>
      </c>
      <c r="G255" s="1">
        <v>0</v>
      </c>
      <c r="H255" s="7">
        <v>260725</v>
      </c>
    </row>
    <row r="256" spans="1:8" x14ac:dyDescent="0.3">
      <c r="A256" s="6" t="s">
        <v>273</v>
      </c>
      <c r="B256" s="1">
        <v>255</v>
      </c>
      <c r="C256" s="1" t="s">
        <v>164</v>
      </c>
      <c r="D256" s="1">
        <v>240</v>
      </c>
      <c r="E256" s="1">
        <v>110587</v>
      </c>
      <c r="F256" s="1">
        <v>108172</v>
      </c>
      <c r="G256" s="1">
        <v>0</v>
      </c>
      <c r="H256" s="7">
        <v>218759</v>
      </c>
    </row>
    <row r="257" spans="1:8" x14ac:dyDescent="0.3">
      <c r="A257" s="6" t="s">
        <v>273</v>
      </c>
      <c r="B257" s="1">
        <v>256</v>
      </c>
      <c r="C257" s="1" t="s">
        <v>282</v>
      </c>
      <c r="D257" s="1">
        <v>281</v>
      </c>
      <c r="E257" s="1">
        <v>128325</v>
      </c>
      <c r="F257" s="1">
        <v>123130</v>
      </c>
      <c r="G257" s="1">
        <v>1</v>
      </c>
      <c r="H257" s="7">
        <v>251456</v>
      </c>
    </row>
    <row r="258" spans="1:8" x14ac:dyDescent="0.3">
      <c r="A258" s="6" t="s">
        <v>273</v>
      </c>
      <c r="B258" s="1">
        <v>257</v>
      </c>
      <c r="C258" s="1" t="s">
        <v>283</v>
      </c>
      <c r="D258" s="1">
        <v>259</v>
      </c>
      <c r="E258" s="1">
        <v>124030</v>
      </c>
      <c r="F258" s="1">
        <v>119489</v>
      </c>
      <c r="G258" s="1">
        <v>0</v>
      </c>
      <c r="H258" s="7">
        <v>243519</v>
      </c>
    </row>
    <row r="259" spans="1:8" x14ac:dyDescent="0.3">
      <c r="A259" s="6" t="s">
        <v>273</v>
      </c>
      <c r="B259" s="1">
        <v>258</v>
      </c>
      <c r="C259" s="1" t="s">
        <v>284</v>
      </c>
      <c r="D259" s="1">
        <v>259</v>
      </c>
      <c r="E259" s="1">
        <v>119931</v>
      </c>
      <c r="F259" s="1">
        <v>114823</v>
      </c>
      <c r="G259" s="1">
        <v>0</v>
      </c>
      <c r="H259" s="7">
        <v>234754</v>
      </c>
    </row>
    <row r="260" spans="1:8" x14ac:dyDescent="0.3">
      <c r="A260" s="6" t="s">
        <v>285</v>
      </c>
      <c r="B260" s="1">
        <v>259</v>
      </c>
      <c r="C260" s="1" t="s">
        <v>286</v>
      </c>
      <c r="D260" s="1">
        <v>271</v>
      </c>
      <c r="E260" s="1">
        <v>124013</v>
      </c>
      <c r="F260" s="1">
        <v>119746</v>
      </c>
      <c r="G260" s="1">
        <v>0</v>
      </c>
      <c r="H260" s="7">
        <v>243759</v>
      </c>
    </row>
    <row r="261" spans="1:8" x14ac:dyDescent="0.3">
      <c r="A261" s="6" t="s">
        <v>285</v>
      </c>
      <c r="B261" s="1">
        <v>260</v>
      </c>
      <c r="C261" s="1" t="s">
        <v>287</v>
      </c>
      <c r="D261" s="1">
        <v>299</v>
      </c>
      <c r="E261" s="1">
        <v>115454</v>
      </c>
      <c r="F261" s="1">
        <v>120538</v>
      </c>
      <c r="G261" s="1">
        <v>4</v>
      </c>
      <c r="H261" s="7">
        <v>235996</v>
      </c>
    </row>
    <row r="262" spans="1:8" x14ac:dyDescent="0.3">
      <c r="A262" s="6" t="s">
        <v>285</v>
      </c>
      <c r="B262" s="1">
        <v>261</v>
      </c>
      <c r="C262" s="1" t="s">
        <v>288</v>
      </c>
      <c r="D262" s="1">
        <v>287</v>
      </c>
      <c r="E262" s="1">
        <v>130057</v>
      </c>
      <c r="F262" s="1">
        <v>124714</v>
      </c>
      <c r="G262" s="1">
        <v>3</v>
      </c>
      <c r="H262" s="7">
        <v>254774</v>
      </c>
    </row>
    <row r="263" spans="1:8" x14ac:dyDescent="0.3">
      <c r="A263" s="6" t="s">
        <v>285</v>
      </c>
      <c r="B263" s="1">
        <v>262</v>
      </c>
      <c r="C263" s="1" t="s">
        <v>289</v>
      </c>
      <c r="D263" s="1">
        <v>258</v>
      </c>
      <c r="E263" s="1">
        <v>117298</v>
      </c>
      <c r="F263" s="1">
        <v>114284</v>
      </c>
      <c r="G263" s="1">
        <v>5</v>
      </c>
      <c r="H263" s="7">
        <v>231587</v>
      </c>
    </row>
    <row r="264" spans="1:8" x14ac:dyDescent="0.3">
      <c r="A264" s="6" t="s">
        <v>285</v>
      </c>
      <c r="B264" s="1">
        <v>263</v>
      </c>
      <c r="C264" s="1" t="s">
        <v>290</v>
      </c>
      <c r="D264" s="1">
        <v>280</v>
      </c>
      <c r="E264" s="1">
        <v>122880</v>
      </c>
      <c r="F264" s="1">
        <v>117791</v>
      </c>
      <c r="G264" s="1">
        <v>5</v>
      </c>
      <c r="H264" s="7">
        <v>240676</v>
      </c>
    </row>
    <row r="265" spans="1:8" x14ac:dyDescent="0.3">
      <c r="A265" s="6" t="s">
        <v>285</v>
      </c>
      <c r="B265" s="1">
        <v>264</v>
      </c>
      <c r="C265" s="1" t="s">
        <v>291</v>
      </c>
      <c r="D265" s="1">
        <v>267</v>
      </c>
      <c r="E265" s="1">
        <v>120004</v>
      </c>
      <c r="F265" s="1">
        <v>115324</v>
      </c>
      <c r="G265" s="1">
        <v>6</v>
      </c>
      <c r="H265" s="7">
        <v>235334</v>
      </c>
    </row>
    <row r="266" spans="1:8" x14ac:dyDescent="0.3">
      <c r="A266" s="6" t="s">
        <v>285</v>
      </c>
      <c r="B266" s="1">
        <v>265</v>
      </c>
      <c r="C266" s="1" t="s">
        <v>292</v>
      </c>
      <c r="D266" s="1">
        <v>285</v>
      </c>
      <c r="E266" s="1">
        <v>123557</v>
      </c>
      <c r="F266" s="1">
        <v>121866</v>
      </c>
      <c r="G266" s="1">
        <v>8</v>
      </c>
      <c r="H266" s="7">
        <v>245431</v>
      </c>
    </row>
    <row r="267" spans="1:8" x14ac:dyDescent="0.3">
      <c r="A267" s="6" t="s">
        <v>285</v>
      </c>
      <c r="B267" s="1">
        <v>266</v>
      </c>
      <c r="C267" s="1" t="s">
        <v>293</v>
      </c>
      <c r="D267" s="1">
        <v>302</v>
      </c>
      <c r="E267" s="1">
        <v>134739</v>
      </c>
      <c r="F267" s="1">
        <v>134883</v>
      </c>
      <c r="G267" s="1">
        <v>2</v>
      </c>
      <c r="H267" s="7">
        <v>269624</v>
      </c>
    </row>
    <row r="268" spans="1:8" x14ac:dyDescent="0.3">
      <c r="A268" s="6" t="s">
        <v>285</v>
      </c>
      <c r="B268" s="1">
        <v>267</v>
      </c>
      <c r="C268" s="1" t="s">
        <v>294</v>
      </c>
      <c r="D268" s="1">
        <v>264</v>
      </c>
      <c r="E268" s="1">
        <v>123191</v>
      </c>
      <c r="F268" s="1">
        <v>120472</v>
      </c>
      <c r="G268" s="1">
        <v>0</v>
      </c>
      <c r="H268" s="7">
        <v>243663</v>
      </c>
    </row>
    <row r="269" spans="1:8" x14ac:dyDescent="0.3">
      <c r="A269" s="6" t="s">
        <v>285</v>
      </c>
      <c r="B269" s="1">
        <v>268</v>
      </c>
      <c r="C269" s="1" t="s">
        <v>295</v>
      </c>
      <c r="D269" s="1">
        <v>266</v>
      </c>
      <c r="E269" s="1">
        <v>125283</v>
      </c>
      <c r="F269" s="1">
        <v>118198</v>
      </c>
      <c r="G269" s="1">
        <v>1</v>
      </c>
      <c r="H269" s="7">
        <v>243482</v>
      </c>
    </row>
    <row r="270" spans="1:8" x14ac:dyDescent="0.3">
      <c r="A270" s="6" t="s">
        <v>285</v>
      </c>
      <c r="B270" s="1">
        <v>269</v>
      </c>
      <c r="C270" s="1" t="s">
        <v>296</v>
      </c>
      <c r="D270" s="1">
        <v>278</v>
      </c>
      <c r="E270" s="1">
        <v>131005</v>
      </c>
      <c r="F270" s="1">
        <v>120487</v>
      </c>
      <c r="G270" s="1">
        <v>7</v>
      </c>
      <c r="H270" s="7">
        <v>251499</v>
      </c>
    </row>
    <row r="271" spans="1:8" x14ac:dyDescent="0.3">
      <c r="A271" s="6" t="s">
        <v>285</v>
      </c>
      <c r="B271" s="1">
        <v>270</v>
      </c>
      <c r="C271" s="1" t="s">
        <v>297</v>
      </c>
      <c r="D271" s="1">
        <v>301</v>
      </c>
      <c r="E271" s="1">
        <v>135638</v>
      </c>
      <c r="F271" s="1">
        <v>130032</v>
      </c>
      <c r="G271" s="1">
        <v>2</v>
      </c>
      <c r="H271" s="7">
        <v>265672</v>
      </c>
    </row>
    <row r="272" spans="1:8" x14ac:dyDescent="0.3">
      <c r="A272" s="6" t="s">
        <v>285</v>
      </c>
      <c r="B272" s="1">
        <v>271</v>
      </c>
      <c r="C272" s="1" t="s">
        <v>298</v>
      </c>
      <c r="D272" s="1">
        <v>297</v>
      </c>
      <c r="E272" s="1">
        <v>135453</v>
      </c>
      <c r="F272" s="1">
        <v>126289</v>
      </c>
      <c r="G272" s="1">
        <v>1</v>
      </c>
      <c r="H272" s="7">
        <v>261743</v>
      </c>
    </row>
    <row r="273" spans="1:8" x14ac:dyDescent="0.3">
      <c r="A273" s="6" t="s">
        <v>285</v>
      </c>
      <c r="B273" s="1">
        <v>272</v>
      </c>
      <c r="C273" s="1" t="s">
        <v>299</v>
      </c>
      <c r="D273" s="1">
        <v>283</v>
      </c>
      <c r="E273" s="1">
        <v>129684</v>
      </c>
      <c r="F273" s="1">
        <v>121912</v>
      </c>
      <c r="G273" s="1">
        <v>1</v>
      </c>
      <c r="H273" s="7">
        <v>251597</v>
      </c>
    </row>
    <row r="274" spans="1:8" x14ac:dyDescent="0.3">
      <c r="A274" s="6" t="s">
        <v>285</v>
      </c>
      <c r="B274" s="1">
        <v>273</v>
      </c>
      <c r="C274" s="1" t="s">
        <v>300</v>
      </c>
      <c r="D274" s="1">
        <v>271</v>
      </c>
      <c r="E274" s="1">
        <v>123140</v>
      </c>
      <c r="F274" s="1">
        <v>119843</v>
      </c>
      <c r="G274" s="1">
        <v>3</v>
      </c>
      <c r="H274" s="7">
        <v>242986</v>
      </c>
    </row>
    <row r="275" spans="1:8" x14ac:dyDescent="0.3">
      <c r="A275" s="6" t="s">
        <v>285</v>
      </c>
      <c r="B275" s="1">
        <v>274</v>
      </c>
      <c r="C275" s="1" t="s">
        <v>301</v>
      </c>
      <c r="D275" s="1">
        <v>297</v>
      </c>
      <c r="E275" s="1">
        <v>127998</v>
      </c>
      <c r="F275" s="1">
        <v>124796</v>
      </c>
      <c r="G275" s="1">
        <v>3</v>
      </c>
      <c r="H275" s="7">
        <v>252797</v>
      </c>
    </row>
    <row r="276" spans="1:8" x14ac:dyDescent="0.3">
      <c r="A276" s="6" t="s">
        <v>302</v>
      </c>
      <c r="B276" s="1">
        <v>275</v>
      </c>
      <c r="C276" s="1" t="s">
        <v>303</v>
      </c>
      <c r="D276" s="1">
        <v>239</v>
      </c>
      <c r="E276" s="1">
        <v>99548</v>
      </c>
      <c r="F276" s="1">
        <v>93711</v>
      </c>
      <c r="G276" s="1">
        <v>1</v>
      </c>
      <c r="H276" s="7">
        <v>193260</v>
      </c>
    </row>
    <row r="277" spans="1:8" x14ac:dyDescent="0.3">
      <c r="A277" s="6" t="s">
        <v>302</v>
      </c>
      <c r="B277" s="1">
        <v>276</v>
      </c>
      <c r="C277" s="1" t="s">
        <v>304</v>
      </c>
      <c r="D277" s="1">
        <v>291</v>
      </c>
      <c r="E277" s="1">
        <v>119342</v>
      </c>
      <c r="F277" s="1">
        <v>119682</v>
      </c>
      <c r="G277" s="1">
        <v>1</v>
      </c>
      <c r="H277" s="7">
        <v>239025</v>
      </c>
    </row>
    <row r="278" spans="1:8" x14ac:dyDescent="0.3">
      <c r="A278" s="6" t="s">
        <v>302</v>
      </c>
      <c r="B278" s="1">
        <v>277</v>
      </c>
      <c r="C278" s="1" t="s">
        <v>305</v>
      </c>
      <c r="D278" s="1">
        <v>306</v>
      </c>
      <c r="E278" s="1">
        <v>124665</v>
      </c>
      <c r="F278" s="1">
        <v>120915</v>
      </c>
      <c r="G278" s="1">
        <v>5</v>
      </c>
      <c r="H278" s="7">
        <v>245585</v>
      </c>
    </row>
    <row r="279" spans="1:8" x14ac:dyDescent="0.3">
      <c r="A279" s="6" t="s">
        <v>302</v>
      </c>
      <c r="B279" s="1">
        <v>278</v>
      </c>
      <c r="C279" s="1" t="s">
        <v>306</v>
      </c>
      <c r="D279" s="1">
        <v>286</v>
      </c>
      <c r="E279" s="1">
        <v>114226</v>
      </c>
      <c r="F279" s="1">
        <v>108524</v>
      </c>
      <c r="G279" s="1">
        <v>4</v>
      </c>
      <c r="H279" s="7">
        <v>222754</v>
      </c>
    </row>
    <row r="280" spans="1:8" x14ac:dyDescent="0.3">
      <c r="A280" s="6" t="s">
        <v>302</v>
      </c>
      <c r="B280" s="1">
        <v>279</v>
      </c>
      <c r="C280" s="1" t="s">
        <v>307</v>
      </c>
      <c r="D280" s="1">
        <v>249</v>
      </c>
      <c r="E280" s="1">
        <v>103764</v>
      </c>
      <c r="F280" s="1">
        <v>96735</v>
      </c>
      <c r="G280" s="1">
        <v>3</v>
      </c>
      <c r="H280" s="7">
        <v>200502</v>
      </c>
    </row>
    <row r="281" spans="1:8" x14ac:dyDescent="0.3">
      <c r="A281" s="6" t="s">
        <v>302</v>
      </c>
      <c r="B281" s="1">
        <v>280</v>
      </c>
      <c r="C281" s="1" t="s">
        <v>308</v>
      </c>
      <c r="D281" s="1">
        <v>302</v>
      </c>
      <c r="E281" s="1">
        <v>126317</v>
      </c>
      <c r="F281" s="1">
        <v>121100</v>
      </c>
      <c r="G281" s="1">
        <v>5</v>
      </c>
      <c r="H281" s="7">
        <v>247422</v>
      </c>
    </row>
    <row r="282" spans="1:8" x14ac:dyDescent="0.3">
      <c r="A282" s="6" t="s">
        <v>302</v>
      </c>
      <c r="B282" s="1">
        <v>281</v>
      </c>
      <c r="C282" s="1" t="s">
        <v>309</v>
      </c>
      <c r="D282" s="1">
        <v>307</v>
      </c>
      <c r="E282" s="1">
        <v>124983</v>
      </c>
      <c r="F282" s="1">
        <v>122042</v>
      </c>
      <c r="G282" s="1">
        <v>3</v>
      </c>
      <c r="H282" s="7">
        <v>247028</v>
      </c>
    </row>
    <row r="283" spans="1:8" x14ac:dyDescent="0.3">
      <c r="A283" s="6" t="s">
        <v>302</v>
      </c>
      <c r="B283" s="1">
        <v>282</v>
      </c>
      <c r="C283" s="1" t="s">
        <v>310</v>
      </c>
      <c r="D283" s="1">
        <v>270</v>
      </c>
      <c r="E283" s="1">
        <v>114713</v>
      </c>
      <c r="F283" s="1">
        <v>106916</v>
      </c>
      <c r="G283" s="1">
        <v>5</v>
      </c>
      <c r="H283" s="7">
        <v>221634</v>
      </c>
    </row>
    <row r="284" spans="1:8" x14ac:dyDescent="0.3">
      <c r="A284" s="6" t="s">
        <v>302</v>
      </c>
      <c r="B284" s="1">
        <v>283</v>
      </c>
      <c r="C284" s="1" t="s">
        <v>311</v>
      </c>
      <c r="D284" s="1">
        <v>254</v>
      </c>
      <c r="E284" s="1">
        <v>103299</v>
      </c>
      <c r="F284" s="1">
        <v>100454</v>
      </c>
      <c r="G284" s="1">
        <v>3</v>
      </c>
      <c r="H284" s="7">
        <v>203756</v>
      </c>
    </row>
    <row r="285" spans="1:8" x14ac:dyDescent="0.3">
      <c r="A285" s="6" t="s">
        <v>312</v>
      </c>
      <c r="B285" s="1">
        <v>284</v>
      </c>
      <c r="C285" s="1" t="s">
        <v>313</v>
      </c>
      <c r="D285" s="1">
        <v>275</v>
      </c>
      <c r="E285" s="1">
        <v>122746</v>
      </c>
      <c r="F285" s="1">
        <v>114575</v>
      </c>
      <c r="G285" s="1">
        <v>1</v>
      </c>
      <c r="H285" s="7">
        <v>237322</v>
      </c>
    </row>
    <row r="286" spans="1:8" x14ac:dyDescent="0.3">
      <c r="A286" s="6" t="s">
        <v>312</v>
      </c>
      <c r="B286" s="1">
        <v>285</v>
      </c>
      <c r="C286" s="1" t="s">
        <v>314</v>
      </c>
      <c r="D286" s="1">
        <v>298</v>
      </c>
      <c r="E286" s="1">
        <v>130148</v>
      </c>
      <c r="F286" s="1">
        <v>127373</v>
      </c>
      <c r="G286" s="1">
        <v>0</v>
      </c>
      <c r="H286" s="7">
        <v>257521</v>
      </c>
    </row>
    <row r="287" spans="1:8" x14ac:dyDescent="0.3">
      <c r="A287" s="6" t="s">
        <v>312</v>
      </c>
      <c r="B287" s="1">
        <v>286</v>
      </c>
      <c r="C287" s="1" t="s">
        <v>315</v>
      </c>
      <c r="D287" s="1">
        <v>296</v>
      </c>
      <c r="E287" s="1">
        <v>135313</v>
      </c>
      <c r="F287" s="1">
        <v>133379</v>
      </c>
      <c r="G287" s="1">
        <v>8</v>
      </c>
      <c r="H287" s="7">
        <v>268700</v>
      </c>
    </row>
    <row r="288" spans="1:8" x14ac:dyDescent="0.3">
      <c r="A288" s="6" t="s">
        <v>312</v>
      </c>
      <c r="B288" s="1">
        <v>287</v>
      </c>
      <c r="C288" s="1" t="s">
        <v>316</v>
      </c>
      <c r="D288" s="1">
        <v>313</v>
      </c>
      <c r="E288" s="1">
        <v>139314</v>
      </c>
      <c r="F288" s="1">
        <v>133503</v>
      </c>
      <c r="G288" s="1">
        <v>4</v>
      </c>
      <c r="H288" s="7">
        <v>272821</v>
      </c>
    </row>
    <row r="289" spans="1:8" x14ac:dyDescent="0.3">
      <c r="A289" s="6" t="s">
        <v>312</v>
      </c>
      <c r="B289" s="1">
        <v>288</v>
      </c>
      <c r="C289" s="1" t="s">
        <v>317</v>
      </c>
      <c r="D289" s="1">
        <v>255</v>
      </c>
      <c r="E289" s="1">
        <v>120751</v>
      </c>
      <c r="F289" s="1">
        <v>115132</v>
      </c>
      <c r="G289" s="1">
        <v>2</v>
      </c>
      <c r="H289" s="7">
        <v>235885</v>
      </c>
    </row>
    <row r="290" spans="1:8" x14ac:dyDescent="0.3">
      <c r="A290" s="6" t="s">
        <v>312</v>
      </c>
      <c r="B290" s="1">
        <v>289</v>
      </c>
      <c r="C290" s="1" t="s">
        <v>318</v>
      </c>
      <c r="D290" s="1">
        <v>286</v>
      </c>
      <c r="E290" s="1">
        <v>127225</v>
      </c>
      <c r="F290" s="1">
        <v>123973</v>
      </c>
      <c r="G290" s="1">
        <v>0</v>
      </c>
      <c r="H290" s="7">
        <v>251198</v>
      </c>
    </row>
    <row r="291" spans="1:8" x14ac:dyDescent="0.3">
      <c r="A291" s="6" t="s">
        <v>312</v>
      </c>
      <c r="B291" s="1">
        <v>290</v>
      </c>
      <c r="C291" s="1" t="s">
        <v>319</v>
      </c>
      <c r="D291" s="1">
        <v>264</v>
      </c>
      <c r="E291" s="1">
        <v>117082</v>
      </c>
      <c r="F291" s="1">
        <v>112907</v>
      </c>
      <c r="G291" s="1">
        <v>4</v>
      </c>
      <c r="H291" s="7">
        <v>229993</v>
      </c>
    </row>
    <row r="292" spans="1:8" x14ac:dyDescent="0.3">
      <c r="A292" s="6" t="s">
        <v>312</v>
      </c>
      <c r="B292" s="1">
        <v>291</v>
      </c>
      <c r="C292" s="1" t="s">
        <v>320</v>
      </c>
      <c r="D292" s="1">
        <v>279</v>
      </c>
      <c r="E292" s="1">
        <v>125888</v>
      </c>
      <c r="F292" s="1">
        <v>127045</v>
      </c>
      <c r="G292" s="1">
        <v>1</v>
      </c>
      <c r="H292" s="7">
        <v>252934</v>
      </c>
    </row>
    <row r="293" spans="1:8" x14ac:dyDescent="0.3">
      <c r="A293" s="6" t="s">
        <v>312</v>
      </c>
      <c r="B293" s="1">
        <v>292</v>
      </c>
      <c r="C293" s="1" t="s">
        <v>321</v>
      </c>
      <c r="D293" s="1">
        <v>263</v>
      </c>
      <c r="E293" s="1">
        <v>127655</v>
      </c>
      <c r="F293" s="1">
        <v>122654</v>
      </c>
      <c r="G293" s="1">
        <v>6</v>
      </c>
      <c r="H293" s="7">
        <v>250315</v>
      </c>
    </row>
    <row r="294" spans="1:8" x14ac:dyDescent="0.3">
      <c r="A294" s="6" t="s">
        <v>312</v>
      </c>
      <c r="B294" s="1">
        <v>293</v>
      </c>
      <c r="C294" s="1" t="s">
        <v>322</v>
      </c>
      <c r="D294" s="1">
        <v>258</v>
      </c>
      <c r="E294" s="1">
        <v>123870</v>
      </c>
      <c r="F294" s="1">
        <v>119489</v>
      </c>
      <c r="G294" s="1">
        <v>8</v>
      </c>
      <c r="H294" s="7">
        <v>243367</v>
      </c>
    </row>
    <row r="295" spans="1:8" x14ac:dyDescent="0.3">
      <c r="A295" s="6" t="s">
        <v>312</v>
      </c>
      <c r="B295" s="1">
        <v>294</v>
      </c>
      <c r="C295" s="1" t="s">
        <v>323</v>
      </c>
      <c r="D295" s="1">
        <v>289</v>
      </c>
      <c r="E295" s="1">
        <v>136819</v>
      </c>
      <c r="F295" s="1">
        <v>129548</v>
      </c>
      <c r="G295" s="1">
        <v>1</v>
      </c>
      <c r="H295" s="7">
        <v>266368</v>
      </c>
    </row>
    <row r="296" spans="1:8" x14ac:dyDescent="0.3">
      <c r="A296" s="11"/>
      <c r="B296" s="12"/>
      <c r="C296" s="12" t="s">
        <v>324</v>
      </c>
      <c r="D296" s="12">
        <v>80681</v>
      </c>
      <c r="E296" s="12">
        <v>36199391</v>
      </c>
      <c r="F296" s="12">
        <v>34615837</v>
      </c>
      <c r="G296" s="12">
        <v>1402</v>
      </c>
      <c r="H296" s="13">
        <v>70816630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67E91-56DE-4EAB-9ADB-80CB22DB5BF1}">
  <dimension ref="A1:L34"/>
  <sheetViews>
    <sheetView topLeftCell="A3" zoomScale="81" zoomScaleNormal="81" workbookViewId="0">
      <selection activeCell="Z27" sqref="Z27"/>
    </sheetView>
  </sheetViews>
  <sheetFormatPr defaultRowHeight="14.4" x14ac:dyDescent="0.3"/>
  <cols>
    <col min="1" max="1" width="13.109375" bestFit="1" customWidth="1"/>
    <col min="2" max="2" width="12.88671875" bestFit="1" customWidth="1"/>
    <col min="3" max="3" width="9.109375" bestFit="1" customWidth="1"/>
    <col min="4" max="4" width="5.5546875" bestFit="1" customWidth="1"/>
    <col min="5" max="5" width="8.6640625" bestFit="1" customWidth="1"/>
    <col min="6" max="6" width="14.77734375" bestFit="1" customWidth="1"/>
    <col min="7" max="7" width="19.109375" bestFit="1" customWidth="1"/>
    <col min="8" max="8" width="25.109375" bestFit="1" customWidth="1"/>
    <col min="9" max="9" width="8.44140625" bestFit="1" customWidth="1"/>
    <col min="10" max="10" width="26.44140625" bestFit="1" customWidth="1"/>
    <col min="11" max="11" width="16.109375" bestFit="1" customWidth="1"/>
    <col min="12" max="12" width="10.77734375" bestFit="1" customWidth="1"/>
    <col min="13" max="13" width="7.33203125" bestFit="1" customWidth="1"/>
    <col min="14" max="14" width="11.44140625" bestFit="1" customWidth="1"/>
    <col min="15" max="15" width="12.33203125" bestFit="1" customWidth="1"/>
    <col min="16" max="16" width="8.33203125" bestFit="1" customWidth="1"/>
    <col min="17" max="17" width="10.77734375" bestFit="1" customWidth="1"/>
    <col min="18" max="18" width="5" bestFit="1" customWidth="1"/>
    <col min="19" max="19" width="10.21875" bestFit="1" customWidth="1"/>
    <col min="20" max="20" width="9.109375" bestFit="1" customWidth="1"/>
    <col min="22" max="22" width="15.6640625" bestFit="1" customWidth="1"/>
    <col min="23" max="23" width="13.33203125" bestFit="1" customWidth="1"/>
    <col min="24" max="24" width="8" bestFit="1" customWidth="1"/>
    <col min="25" max="25" width="8.44140625" bestFit="1" customWidth="1"/>
    <col min="26" max="26" width="9.5546875" bestFit="1" customWidth="1"/>
    <col min="27" max="27" width="7.21875" bestFit="1" customWidth="1"/>
    <col min="28" max="28" width="7.109375" bestFit="1" customWidth="1"/>
    <col min="29" max="29" width="10.21875" bestFit="1" customWidth="1"/>
    <col min="30" max="30" width="15.77734375" bestFit="1" customWidth="1"/>
    <col min="31" max="31" width="13.77734375" bestFit="1" customWidth="1"/>
    <col min="32" max="32" width="7.109375" bestFit="1" customWidth="1"/>
    <col min="33" max="33" width="15.109375" bestFit="1" customWidth="1"/>
    <col min="34" max="34" width="12.77734375" bestFit="1" customWidth="1"/>
    <col min="35" max="35" width="14.21875" bestFit="1" customWidth="1"/>
    <col min="36" max="36" width="12.109375" bestFit="1" customWidth="1"/>
    <col min="37" max="37" width="8.77734375" bestFit="1" customWidth="1"/>
    <col min="38" max="38" width="9.44140625" bestFit="1" customWidth="1"/>
    <col min="39" max="39" width="10.77734375" bestFit="1" customWidth="1"/>
    <col min="40" max="40" width="13.109375" bestFit="1" customWidth="1"/>
    <col min="41" max="41" width="12.33203125" bestFit="1" customWidth="1"/>
    <col min="42" max="42" width="8" bestFit="1" customWidth="1"/>
    <col min="43" max="43" width="9.44140625" bestFit="1" customWidth="1"/>
    <col min="44" max="44" width="6.5546875" bestFit="1" customWidth="1"/>
    <col min="45" max="45" width="8.6640625" bestFit="1" customWidth="1"/>
    <col min="46" max="46" width="11.6640625" bestFit="1" customWidth="1"/>
    <col min="47" max="47" width="6" bestFit="1" customWidth="1"/>
    <col min="48" max="48" width="6.5546875" bestFit="1" customWidth="1"/>
    <col min="49" max="49" width="9.5546875" bestFit="1" customWidth="1"/>
    <col min="50" max="50" width="6.5546875" bestFit="1" customWidth="1"/>
    <col min="51" max="51" width="12.109375" bestFit="1" customWidth="1"/>
    <col min="52" max="52" width="15.77734375" bestFit="1" customWidth="1"/>
    <col min="53" max="53" width="13.44140625" bestFit="1" customWidth="1"/>
    <col min="54" max="54" width="7.44140625" bestFit="1" customWidth="1"/>
    <col min="55" max="55" width="15.44140625" bestFit="1" customWidth="1"/>
    <col min="56" max="56" width="13.44140625" bestFit="1" customWidth="1"/>
    <col min="57" max="57" width="9.44140625" bestFit="1" customWidth="1"/>
    <col min="58" max="58" width="8.21875" bestFit="1" customWidth="1"/>
    <col min="59" max="59" width="10.6640625" bestFit="1" customWidth="1"/>
    <col min="60" max="60" width="8.77734375" bestFit="1" customWidth="1"/>
    <col min="61" max="61" width="13.44140625" bestFit="1" customWidth="1"/>
    <col min="62" max="62" width="9.77734375" bestFit="1" customWidth="1"/>
    <col min="63" max="63" width="10" bestFit="1" customWidth="1"/>
    <col min="64" max="64" width="12.33203125" bestFit="1" customWidth="1"/>
    <col min="65" max="65" width="7" bestFit="1" customWidth="1"/>
    <col min="66" max="66" width="8.109375" bestFit="1" customWidth="1"/>
    <col min="67" max="67" width="7.109375" bestFit="1" customWidth="1"/>
    <col min="68" max="68" width="11.6640625" bestFit="1" customWidth="1"/>
    <col min="69" max="69" width="10.21875" bestFit="1" customWidth="1"/>
    <col min="70" max="70" width="19" bestFit="1" customWidth="1"/>
    <col min="71" max="71" width="19.109375" bestFit="1" customWidth="1"/>
    <col min="72" max="72" width="15.21875" bestFit="1" customWidth="1"/>
    <col min="73" max="73" width="7.109375" bestFit="1" customWidth="1"/>
    <col min="74" max="74" width="9.6640625" bestFit="1" customWidth="1"/>
    <col min="75" max="75" width="6.88671875" bestFit="1" customWidth="1"/>
    <col min="76" max="76" width="6" bestFit="1" customWidth="1"/>
    <col min="77" max="77" width="8.33203125" bestFit="1" customWidth="1"/>
    <col min="78" max="78" width="10.5546875" bestFit="1" customWidth="1"/>
    <col min="79" max="79" width="8.77734375" bestFit="1" customWidth="1"/>
    <col min="80" max="80" width="16.109375" bestFit="1" customWidth="1"/>
    <col min="81" max="81" width="7.5546875" bestFit="1" customWidth="1"/>
    <col min="82" max="82" width="7.33203125" bestFit="1" customWidth="1"/>
    <col min="83" max="83" width="7.44140625" bestFit="1" customWidth="1"/>
    <col min="84" max="84" width="9.5546875" bestFit="1" customWidth="1"/>
    <col min="85" max="85" width="9.44140625" bestFit="1" customWidth="1"/>
    <col min="86" max="86" width="14.33203125" bestFit="1" customWidth="1"/>
    <col min="87" max="87" width="16.44140625" bestFit="1" customWidth="1"/>
    <col min="88" max="88" width="14.44140625" bestFit="1" customWidth="1"/>
    <col min="89" max="89" width="4.6640625" bestFit="1" customWidth="1"/>
    <col min="90" max="90" width="11.44140625" bestFit="1" customWidth="1"/>
    <col min="91" max="91" width="6.6640625" bestFit="1" customWidth="1"/>
    <col min="92" max="92" width="8" bestFit="1" customWidth="1"/>
    <col min="93" max="93" width="5" bestFit="1" customWidth="1"/>
    <col min="94" max="94" width="7.5546875" bestFit="1" customWidth="1"/>
    <col min="95" max="95" width="8.44140625" bestFit="1" customWidth="1"/>
    <col min="96" max="96" width="5.21875" bestFit="1" customWidth="1"/>
    <col min="97" max="97" width="12.5546875" bestFit="1" customWidth="1"/>
    <col min="98" max="98" width="7.77734375" bestFit="1" customWidth="1"/>
    <col min="99" max="99" width="6.77734375" bestFit="1" customWidth="1"/>
    <col min="100" max="100" width="6.5546875" bestFit="1" customWidth="1"/>
    <col min="101" max="101" width="10.77734375" bestFit="1" customWidth="1"/>
    <col min="102" max="102" width="7.109375" bestFit="1" customWidth="1"/>
    <col min="103" max="103" width="13.109375" bestFit="1" customWidth="1"/>
    <col min="104" max="104" width="7.21875" bestFit="1" customWidth="1"/>
    <col min="105" max="105" width="8.77734375" bestFit="1" customWidth="1"/>
    <col min="106" max="106" width="6" bestFit="1" customWidth="1"/>
    <col min="107" max="107" width="6.33203125" bestFit="1" customWidth="1"/>
    <col min="108" max="108" width="7.21875" bestFit="1" customWidth="1"/>
    <col min="109" max="109" width="10.88671875" bestFit="1" customWidth="1"/>
    <col min="110" max="110" width="10.21875" bestFit="1" customWidth="1"/>
    <col min="111" max="111" width="7" bestFit="1" customWidth="1"/>
    <col min="112" max="112" width="10.5546875" bestFit="1" customWidth="1"/>
    <col min="113" max="113" width="15" bestFit="1" customWidth="1"/>
    <col min="114" max="114" width="6" bestFit="1" customWidth="1"/>
    <col min="115" max="115" width="9.77734375" bestFit="1" customWidth="1"/>
    <col min="116" max="116" width="9.88671875" bestFit="1" customWidth="1"/>
    <col min="117" max="117" width="14.77734375" bestFit="1" customWidth="1"/>
    <col min="118" max="118" width="15.109375" bestFit="1" customWidth="1"/>
    <col min="119" max="119" width="12.33203125" bestFit="1" customWidth="1"/>
    <col min="120" max="120" width="5.6640625" bestFit="1" customWidth="1"/>
    <col min="121" max="121" width="8.33203125" bestFit="1" customWidth="1"/>
    <col min="122" max="122" width="6" bestFit="1" customWidth="1"/>
    <col min="123" max="123" width="8.6640625" bestFit="1" customWidth="1"/>
    <col min="124" max="124" width="13.33203125" bestFit="1" customWidth="1"/>
    <col min="125" max="125" width="7.88671875" bestFit="1" customWidth="1"/>
    <col min="126" max="126" width="6.6640625" bestFit="1" customWidth="1"/>
    <col min="127" max="127" width="9" bestFit="1" customWidth="1"/>
    <col min="128" max="128" width="8.6640625" bestFit="1" customWidth="1"/>
    <col min="129" max="129" width="7.5546875" bestFit="1" customWidth="1"/>
    <col min="130" max="130" width="9" bestFit="1" customWidth="1"/>
    <col min="131" max="131" width="8.109375" bestFit="1" customWidth="1"/>
    <col min="132" max="132" width="8.77734375" bestFit="1" customWidth="1"/>
    <col min="133" max="133" width="9.44140625" bestFit="1" customWidth="1"/>
    <col min="134" max="134" width="8.5546875" bestFit="1" customWidth="1"/>
    <col min="135" max="135" width="6.6640625" bestFit="1" customWidth="1"/>
    <col min="136" max="136" width="8.21875" bestFit="1" customWidth="1"/>
    <col min="137" max="137" width="7.6640625" bestFit="1" customWidth="1"/>
    <col min="138" max="138" width="8.6640625" bestFit="1" customWidth="1"/>
    <col min="139" max="139" width="7.6640625" bestFit="1" customWidth="1"/>
    <col min="140" max="140" width="10" bestFit="1" customWidth="1"/>
    <col min="141" max="141" width="5.6640625" bestFit="1" customWidth="1"/>
    <col min="142" max="142" width="7.109375" bestFit="1" customWidth="1"/>
    <col min="143" max="143" width="9.6640625" bestFit="1" customWidth="1"/>
    <col min="144" max="144" width="5.77734375" bestFit="1" customWidth="1"/>
    <col min="145" max="145" width="13.6640625" bestFit="1" customWidth="1"/>
    <col min="146" max="146" width="11.21875" bestFit="1" customWidth="1"/>
    <col min="147" max="147" width="10" bestFit="1" customWidth="1"/>
    <col min="148" max="148" width="8.77734375" bestFit="1" customWidth="1"/>
    <col min="149" max="149" width="6" bestFit="1" customWidth="1"/>
    <col min="150" max="150" width="8.33203125" bestFit="1" customWidth="1"/>
    <col min="151" max="151" width="18.44140625" bestFit="1" customWidth="1"/>
    <col min="152" max="152" width="8.21875" bestFit="1" customWidth="1"/>
    <col min="153" max="153" width="6.21875" bestFit="1" customWidth="1"/>
    <col min="154" max="154" width="8.21875" bestFit="1" customWidth="1"/>
    <col min="155" max="155" width="7.88671875" bestFit="1" customWidth="1"/>
    <col min="156" max="156" width="9.21875" bestFit="1" customWidth="1"/>
    <col min="158" max="158" width="12.5546875" bestFit="1" customWidth="1"/>
    <col min="159" max="159" width="9.77734375" bestFit="1" customWidth="1"/>
    <col min="160" max="160" width="15.109375" bestFit="1" customWidth="1"/>
    <col min="161" max="161" width="9.109375" bestFit="1" customWidth="1"/>
    <col min="162" max="162" width="9.21875" bestFit="1" customWidth="1"/>
    <col min="163" max="163" width="7.109375" bestFit="1" customWidth="1"/>
    <col min="164" max="164" width="11.33203125" bestFit="1" customWidth="1"/>
    <col min="165" max="165" width="10.88671875" bestFit="1" customWidth="1"/>
    <col min="166" max="166" width="19.33203125" bestFit="1" customWidth="1"/>
    <col min="167" max="167" width="17" bestFit="1" customWidth="1"/>
    <col min="168" max="168" width="5.33203125" bestFit="1" customWidth="1"/>
    <col min="169" max="169" width="6.44140625" bestFit="1" customWidth="1"/>
    <col min="170" max="170" width="4.88671875" bestFit="1" customWidth="1"/>
    <col min="171" max="171" width="10.21875" bestFit="1" customWidth="1"/>
    <col min="172" max="172" width="10.88671875" bestFit="1" customWidth="1"/>
    <col min="174" max="174" width="10.44140625" bestFit="1" customWidth="1"/>
    <col min="175" max="175" width="8" bestFit="1" customWidth="1"/>
    <col min="176" max="176" width="6.88671875" bestFit="1" customWidth="1"/>
    <col min="177" max="177" width="9.77734375" bestFit="1" customWidth="1"/>
    <col min="178" max="178" width="14.109375" bestFit="1" customWidth="1"/>
    <col min="179" max="179" width="16.77734375" bestFit="1" customWidth="1"/>
    <col min="180" max="180" width="14.77734375" bestFit="1" customWidth="1"/>
    <col min="181" max="181" width="11" bestFit="1" customWidth="1"/>
    <col min="182" max="182" width="10.77734375" bestFit="1" customWidth="1"/>
    <col min="183" max="183" width="4.21875" bestFit="1" customWidth="1"/>
    <col min="184" max="184" width="9.33203125" bestFit="1" customWidth="1"/>
    <col min="185" max="185" width="8.44140625" bestFit="1" customWidth="1"/>
    <col min="186" max="186" width="9.44140625" bestFit="1" customWidth="1"/>
    <col min="187" max="187" width="11.6640625" bestFit="1" customWidth="1"/>
    <col min="188" max="188" width="10.33203125" bestFit="1" customWidth="1"/>
    <col min="189" max="189" width="9.5546875" bestFit="1" customWidth="1"/>
    <col min="190" max="190" width="12.88671875" bestFit="1" customWidth="1"/>
    <col min="191" max="191" width="17.5546875" bestFit="1" customWidth="1"/>
    <col min="192" max="192" width="10.109375" bestFit="1" customWidth="1"/>
    <col min="193" max="193" width="11.44140625" bestFit="1" customWidth="1"/>
    <col min="194" max="194" width="10" bestFit="1" customWidth="1"/>
    <col min="195" max="195" width="9.44140625" bestFit="1" customWidth="1"/>
    <col min="196" max="196" width="7.6640625" bestFit="1" customWidth="1"/>
    <col min="197" max="197" width="10.77734375" bestFit="1" customWidth="1"/>
    <col min="198" max="198" width="9.5546875" bestFit="1" customWidth="1"/>
    <col min="199" max="199" width="11.21875" bestFit="1" customWidth="1"/>
    <col min="200" max="200" width="10.6640625" bestFit="1" customWidth="1"/>
    <col min="201" max="201" width="9.88671875" bestFit="1" customWidth="1"/>
    <col min="202" max="202" width="7" bestFit="1" customWidth="1"/>
    <col min="203" max="203" width="7.6640625" bestFit="1" customWidth="1"/>
    <col min="204" max="204" width="12.21875" bestFit="1" customWidth="1"/>
    <col min="205" max="205" width="9.5546875" bestFit="1" customWidth="1"/>
    <col min="206" max="206" width="9.77734375" bestFit="1" customWidth="1"/>
    <col min="207" max="207" width="9.6640625" bestFit="1" customWidth="1"/>
    <col min="208" max="208" width="7.109375" bestFit="1" customWidth="1"/>
    <col min="209" max="209" width="11.44140625" bestFit="1" customWidth="1"/>
    <col min="210" max="210" width="7.109375" bestFit="1" customWidth="1"/>
    <col min="211" max="211" width="12" bestFit="1" customWidth="1"/>
    <col min="212" max="212" width="10.33203125" bestFit="1" customWidth="1"/>
    <col min="213" max="213" width="7.33203125" bestFit="1" customWidth="1"/>
    <col min="214" max="214" width="6.5546875" bestFit="1" customWidth="1"/>
    <col min="215" max="215" width="11.88671875" bestFit="1" customWidth="1"/>
    <col min="216" max="216" width="8.21875" bestFit="1" customWidth="1"/>
    <col min="217" max="217" width="9.6640625" bestFit="1" customWidth="1"/>
    <col min="218" max="218" width="8.21875" bestFit="1" customWidth="1"/>
    <col min="219" max="219" width="5.5546875" bestFit="1" customWidth="1"/>
    <col min="220" max="220" width="10.6640625" bestFit="1" customWidth="1"/>
    <col min="221" max="221" width="7.6640625" bestFit="1" customWidth="1"/>
    <col min="222" max="222" width="12.33203125" bestFit="1" customWidth="1"/>
    <col min="223" max="223" width="7.44140625" bestFit="1" customWidth="1"/>
    <col min="224" max="224" width="7.88671875" bestFit="1" customWidth="1"/>
    <col min="225" max="225" width="16.33203125" bestFit="1" customWidth="1"/>
    <col min="226" max="226" width="14.33203125" bestFit="1" customWidth="1"/>
    <col min="227" max="227" width="4.77734375" bestFit="1" customWidth="1"/>
    <col min="228" max="228" width="9.5546875" bestFit="1" customWidth="1"/>
    <col min="229" max="229" width="13.21875" bestFit="1" customWidth="1"/>
    <col min="230" max="230" width="11.21875" bestFit="1" customWidth="1"/>
    <col min="231" max="231" width="6.109375" bestFit="1" customWidth="1"/>
    <col min="232" max="232" width="17.88671875" bestFit="1" customWidth="1"/>
    <col min="233" max="233" width="15.44140625" bestFit="1" customWidth="1"/>
    <col min="234" max="234" width="8.5546875" bestFit="1" customWidth="1"/>
    <col min="235" max="235" width="7" bestFit="1" customWidth="1"/>
    <col min="236" max="236" width="14.21875" bestFit="1" customWidth="1"/>
    <col min="237" max="237" width="13.21875" bestFit="1" customWidth="1"/>
    <col min="238" max="238" width="7.77734375" bestFit="1" customWidth="1"/>
    <col min="239" max="239" width="7.21875" bestFit="1" customWidth="1"/>
    <col min="240" max="240" width="5.6640625" bestFit="1" customWidth="1"/>
    <col min="241" max="241" width="6.44140625" bestFit="1" customWidth="1"/>
    <col min="242" max="242" width="16.5546875" bestFit="1" customWidth="1"/>
    <col min="243" max="243" width="17.6640625" bestFit="1" customWidth="1"/>
    <col min="244" max="244" width="7.33203125" bestFit="1" customWidth="1"/>
    <col min="245" max="245" width="9.5546875" bestFit="1" customWidth="1"/>
    <col min="246" max="246" width="10.44140625" bestFit="1" customWidth="1"/>
    <col min="247" max="247" width="16.21875" bestFit="1" customWidth="1"/>
    <col min="248" max="248" width="21.5546875" bestFit="1" customWidth="1"/>
    <col min="249" max="249" width="19.44140625" bestFit="1" customWidth="1"/>
    <col min="250" max="250" width="10.109375" bestFit="1" customWidth="1"/>
    <col min="251" max="251" width="8.33203125" bestFit="1" customWidth="1"/>
    <col min="252" max="252" width="9.44140625" bestFit="1" customWidth="1"/>
    <col min="253" max="253" width="10.44140625" bestFit="1" customWidth="1"/>
    <col min="254" max="254" width="5.88671875" bestFit="1" customWidth="1"/>
    <col min="256" max="256" width="7.21875" bestFit="1" customWidth="1"/>
    <col min="257" max="257" width="5.6640625" bestFit="1" customWidth="1"/>
    <col min="258" max="258" width="9.77734375" bestFit="1" customWidth="1"/>
    <col min="259" max="259" width="7.77734375" bestFit="1" customWidth="1"/>
    <col min="260" max="260" width="7.21875" bestFit="1" customWidth="1"/>
    <col min="261" max="261" width="6.88671875" bestFit="1" customWidth="1"/>
    <col min="262" max="262" width="10.77734375" bestFit="1" customWidth="1"/>
    <col min="263" max="263" width="12.21875" bestFit="1" customWidth="1"/>
    <col min="264" max="264" width="7.6640625" bestFit="1" customWidth="1"/>
    <col min="265" max="265" width="8.109375" bestFit="1" customWidth="1"/>
    <col min="266" max="266" width="10.109375" bestFit="1" customWidth="1"/>
    <col min="267" max="267" width="10.21875" bestFit="1" customWidth="1"/>
    <col min="268" max="268" width="7.5546875" bestFit="1" customWidth="1"/>
    <col min="269" max="269" width="11.77734375" bestFit="1" customWidth="1"/>
    <col min="270" max="270" width="9.6640625" bestFit="1" customWidth="1"/>
    <col min="271" max="271" width="6.77734375" bestFit="1" customWidth="1"/>
    <col min="272" max="272" width="6.33203125" bestFit="1" customWidth="1"/>
    <col min="273" max="273" width="4.6640625" bestFit="1" customWidth="1"/>
    <col min="274" max="274" width="9.109375" bestFit="1" customWidth="1"/>
    <col min="275" max="275" width="10.5546875" bestFit="1" customWidth="1"/>
    <col min="276" max="276" width="16" bestFit="1" customWidth="1"/>
    <col min="277" max="277" width="13.6640625" bestFit="1" customWidth="1"/>
    <col min="278" max="278" width="11" bestFit="1" customWidth="1"/>
    <col min="279" max="279" width="7.5546875" bestFit="1" customWidth="1"/>
    <col min="280" max="281" width="4.21875" bestFit="1" customWidth="1"/>
    <col min="282" max="282" width="12.109375" bestFit="1" customWidth="1"/>
    <col min="283" max="283" width="9.33203125" bestFit="1" customWidth="1"/>
    <col min="284" max="284" width="7.21875" bestFit="1" customWidth="1"/>
    <col min="285" max="285" width="6.21875" bestFit="1" customWidth="1"/>
    <col min="286" max="286" width="10.5546875" bestFit="1" customWidth="1"/>
    <col min="287" max="287" width="7.44140625" bestFit="1" customWidth="1"/>
    <col min="288" max="288" width="8.6640625" bestFit="1" customWidth="1"/>
    <col min="289" max="289" width="9.5546875" bestFit="1" customWidth="1"/>
    <col min="290" max="290" width="15.33203125" bestFit="1" customWidth="1"/>
    <col min="291" max="291" width="15.6640625" bestFit="1" customWidth="1"/>
    <col min="292" max="292" width="13.77734375" bestFit="1" customWidth="1"/>
    <col min="293" max="293" width="13.33203125" bestFit="1" customWidth="1"/>
    <col min="294" max="294" width="9.109375" bestFit="1" customWidth="1"/>
    <col min="295" max="295" width="10.77734375" bestFit="1" customWidth="1"/>
  </cols>
  <sheetData>
    <row r="1" spans="1:12" x14ac:dyDescent="0.3">
      <c r="A1" s="2" t="s">
        <v>325</v>
      </c>
      <c r="B1" t="s">
        <v>327</v>
      </c>
      <c r="C1" t="s">
        <v>328</v>
      </c>
      <c r="D1" t="s">
        <v>329</v>
      </c>
    </row>
    <row r="2" spans="1:12" x14ac:dyDescent="0.3">
      <c r="A2" s="3" t="s">
        <v>18</v>
      </c>
      <c r="B2">
        <v>609618</v>
      </c>
      <c r="C2">
        <v>594562</v>
      </c>
      <c r="D2">
        <v>20</v>
      </c>
    </row>
    <row r="3" spans="1:12" x14ac:dyDescent="0.3">
      <c r="A3" s="3" t="s">
        <v>273</v>
      </c>
      <c r="B3">
        <v>1476646</v>
      </c>
      <c r="C3">
        <v>1424361</v>
      </c>
      <c r="D3">
        <v>2</v>
      </c>
    </row>
    <row r="4" spans="1:12" x14ac:dyDescent="0.3">
      <c r="A4" s="3" t="s">
        <v>312</v>
      </c>
      <c r="B4">
        <v>1406811</v>
      </c>
      <c r="C4">
        <v>1359578</v>
      </c>
      <c r="D4">
        <v>35</v>
      </c>
    </row>
    <row r="5" spans="1:12" x14ac:dyDescent="0.3">
      <c r="A5" s="3" t="s">
        <v>8</v>
      </c>
      <c r="B5">
        <v>1232150</v>
      </c>
      <c r="C5">
        <v>1145247</v>
      </c>
      <c r="D5">
        <v>22</v>
      </c>
    </row>
    <row r="6" spans="1:12" x14ac:dyDescent="0.3">
      <c r="A6" s="3" t="s">
        <v>49</v>
      </c>
      <c r="B6">
        <v>644287</v>
      </c>
      <c r="C6">
        <v>606230</v>
      </c>
      <c r="D6">
        <v>47</v>
      </c>
    </row>
    <row r="7" spans="1:12" x14ac:dyDescent="0.3">
      <c r="A7" s="3" t="s">
        <v>33</v>
      </c>
      <c r="B7">
        <v>582980</v>
      </c>
      <c r="C7">
        <v>587633</v>
      </c>
      <c r="D7">
        <v>30</v>
      </c>
    </row>
    <row r="8" spans="1:12" x14ac:dyDescent="0.3">
      <c r="A8" s="3" t="s">
        <v>206</v>
      </c>
      <c r="B8">
        <v>2244491</v>
      </c>
      <c r="C8">
        <v>2211642</v>
      </c>
      <c r="D8">
        <v>92</v>
      </c>
    </row>
    <row r="9" spans="1:12" x14ac:dyDescent="0.3">
      <c r="A9" s="3" t="s">
        <v>189</v>
      </c>
      <c r="B9">
        <v>1889757</v>
      </c>
      <c r="C9">
        <v>1803725</v>
      </c>
      <c r="D9">
        <v>89</v>
      </c>
    </row>
    <row r="10" spans="1:12" x14ac:dyDescent="0.3">
      <c r="A10" s="3" t="s">
        <v>24</v>
      </c>
      <c r="B10">
        <v>903140</v>
      </c>
      <c r="C10">
        <v>877753</v>
      </c>
      <c r="D10">
        <v>22</v>
      </c>
      <c r="G10" s="2" t="s">
        <v>325</v>
      </c>
      <c r="H10" t="s">
        <v>331</v>
      </c>
      <c r="K10" s="2" t="s">
        <v>332</v>
      </c>
    </row>
    <row r="11" spans="1:12" x14ac:dyDescent="0.3">
      <c r="A11" s="3" t="s">
        <v>244</v>
      </c>
      <c r="B11">
        <v>453947</v>
      </c>
      <c r="C11">
        <v>448061</v>
      </c>
      <c r="D11">
        <v>6</v>
      </c>
      <c r="G11" s="3" t="s">
        <v>189</v>
      </c>
      <c r="H11" s="5">
        <v>4393</v>
      </c>
      <c r="J11" s="2" t="s">
        <v>333</v>
      </c>
      <c r="K11" t="s">
        <v>189</v>
      </c>
      <c r="L11" t="s">
        <v>326</v>
      </c>
    </row>
    <row r="12" spans="1:12" x14ac:dyDescent="0.3">
      <c r="A12" s="3" t="s">
        <v>32</v>
      </c>
      <c r="B12">
        <v>101506</v>
      </c>
      <c r="C12">
        <v>102025</v>
      </c>
      <c r="D12">
        <v>0</v>
      </c>
      <c r="G12" s="4" t="s">
        <v>202</v>
      </c>
      <c r="H12" s="5">
        <v>292</v>
      </c>
      <c r="J12" s="3" t="s">
        <v>327</v>
      </c>
      <c r="K12" s="5">
        <v>1889757</v>
      </c>
      <c r="L12" s="5">
        <v>1889757</v>
      </c>
    </row>
    <row r="13" spans="1:12" x14ac:dyDescent="0.3">
      <c r="A13" s="3" t="s">
        <v>181</v>
      </c>
      <c r="B13">
        <v>572656</v>
      </c>
      <c r="C13">
        <v>543254</v>
      </c>
      <c r="D13">
        <v>39</v>
      </c>
      <c r="G13" s="4" t="s">
        <v>201</v>
      </c>
      <c r="H13" s="5">
        <v>253</v>
      </c>
      <c r="J13" s="3" t="s">
        <v>328</v>
      </c>
      <c r="K13" s="5">
        <v>1803725</v>
      </c>
      <c r="L13" s="5">
        <v>1803725</v>
      </c>
    </row>
    <row r="14" spans="1:12" x14ac:dyDescent="0.3">
      <c r="A14" s="3" t="s">
        <v>176</v>
      </c>
      <c r="B14">
        <v>351040</v>
      </c>
      <c r="C14">
        <v>340243</v>
      </c>
      <c r="D14">
        <v>23</v>
      </c>
      <c r="G14" s="4" t="s">
        <v>190</v>
      </c>
      <c r="H14" s="5">
        <v>196</v>
      </c>
      <c r="J14" s="3" t="s">
        <v>329</v>
      </c>
      <c r="K14" s="5">
        <v>89</v>
      </c>
      <c r="L14" s="5">
        <v>89</v>
      </c>
    </row>
    <row r="15" spans="1:12" x14ac:dyDescent="0.3">
      <c r="A15" s="3" t="s">
        <v>56</v>
      </c>
      <c r="B15">
        <v>1543907</v>
      </c>
      <c r="C15">
        <v>1453671</v>
      </c>
      <c r="D15">
        <v>82</v>
      </c>
      <c r="G15" s="4" t="s">
        <v>205</v>
      </c>
      <c r="H15" s="5">
        <v>316</v>
      </c>
    </row>
    <row r="16" spans="1:12" x14ac:dyDescent="0.3">
      <c r="A16" s="3" t="s">
        <v>69</v>
      </c>
      <c r="B16">
        <v>2822566</v>
      </c>
      <c r="C16">
        <v>2662598</v>
      </c>
      <c r="D16">
        <v>84</v>
      </c>
      <c r="G16" s="4" t="s">
        <v>194</v>
      </c>
      <c r="H16" s="5">
        <v>317</v>
      </c>
    </row>
    <row r="17" spans="1:8" x14ac:dyDescent="0.3">
      <c r="A17" s="3" t="s">
        <v>92</v>
      </c>
      <c r="B17">
        <v>2175904</v>
      </c>
      <c r="C17">
        <v>2026229</v>
      </c>
      <c r="D17">
        <v>82</v>
      </c>
      <c r="G17" s="4" t="s">
        <v>192</v>
      </c>
      <c r="H17" s="5">
        <v>313</v>
      </c>
    </row>
    <row r="18" spans="1:8" x14ac:dyDescent="0.3">
      <c r="A18" s="3" t="s">
        <v>110</v>
      </c>
      <c r="B18">
        <v>3813287</v>
      </c>
      <c r="C18">
        <v>3695051</v>
      </c>
      <c r="D18">
        <v>210</v>
      </c>
      <c r="G18" s="4" t="s">
        <v>191</v>
      </c>
      <c r="H18" s="5">
        <v>234</v>
      </c>
    </row>
    <row r="19" spans="1:8" x14ac:dyDescent="0.3">
      <c r="A19" s="3" t="s">
        <v>302</v>
      </c>
      <c r="B19">
        <v>1030857</v>
      </c>
      <c r="C19">
        <v>990079</v>
      </c>
      <c r="D19">
        <v>30</v>
      </c>
      <c r="G19" s="4" t="s">
        <v>204</v>
      </c>
      <c r="H19" s="5">
        <v>319</v>
      </c>
    </row>
    <row r="20" spans="1:8" x14ac:dyDescent="0.3">
      <c r="A20" s="3" t="s">
        <v>242</v>
      </c>
      <c r="B20">
        <v>1936948</v>
      </c>
      <c r="C20">
        <v>1875581</v>
      </c>
      <c r="D20">
        <v>27</v>
      </c>
      <c r="G20" s="4" t="s">
        <v>196</v>
      </c>
      <c r="H20" s="5">
        <v>292</v>
      </c>
    </row>
    <row r="21" spans="1:8" x14ac:dyDescent="0.3">
      <c r="A21" s="3" t="s">
        <v>285</v>
      </c>
      <c r="B21">
        <v>2019394</v>
      </c>
      <c r="C21">
        <v>1951175</v>
      </c>
      <c r="D21">
        <v>51</v>
      </c>
      <c r="G21" s="4" t="s">
        <v>195</v>
      </c>
      <c r="H21" s="5">
        <v>303</v>
      </c>
    </row>
    <row r="22" spans="1:8" x14ac:dyDescent="0.3">
      <c r="A22" s="3" t="s">
        <v>225</v>
      </c>
      <c r="B22">
        <v>2134947</v>
      </c>
      <c r="C22">
        <v>2006420</v>
      </c>
      <c r="D22">
        <v>45</v>
      </c>
      <c r="G22" s="4" t="s">
        <v>193</v>
      </c>
      <c r="H22" s="5">
        <v>240</v>
      </c>
    </row>
    <row r="23" spans="1:8" x14ac:dyDescent="0.3">
      <c r="A23" s="3" t="s">
        <v>263</v>
      </c>
      <c r="B23">
        <v>1148537</v>
      </c>
      <c r="C23">
        <v>1089475</v>
      </c>
      <c r="D23">
        <v>14</v>
      </c>
      <c r="G23" s="4" t="s">
        <v>200</v>
      </c>
      <c r="H23" s="5">
        <v>303</v>
      </c>
    </row>
    <row r="24" spans="1:8" x14ac:dyDescent="0.3">
      <c r="A24" s="3" t="s">
        <v>144</v>
      </c>
      <c r="B24">
        <v>3970011</v>
      </c>
      <c r="C24">
        <v>3805985</v>
      </c>
      <c r="D24">
        <v>280</v>
      </c>
      <c r="G24" s="4" t="s">
        <v>203</v>
      </c>
      <c r="H24" s="5">
        <v>261</v>
      </c>
    </row>
    <row r="25" spans="1:8" x14ac:dyDescent="0.3">
      <c r="A25" s="3" t="s">
        <v>39</v>
      </c>
      <c r="B25">
        <v>1134004</v>
      </c>
      <c r="C25">
        <v>1015259</v>
      </c>
      <c r="D25">
        <v>70</v>
      </c>
      <c r="G25" s="4" t="s">
        <v>199</v>
      </c>
      <c r="H25" s="5">
        <v>263</v>
      </c>
    </row>
    <row r="26" spans="1:8" x14ac:dyDescent="0.3">
      <c r="A26" s="3" t="s">
        <v>326</v>
      </c>
      <c r="B26">
        <v>36199391</v>
      </c>
      <c r="C26">
        <v>34615837</v>
      </c>
      <c r="D26">
        <v>1402</v>
      </c>
      <c r="G26" s="4" t="s">
        <v>197</v>
      </c>
      <c r="H26" s="5">
        <v>248</v>
      </c>
    </row>
    <row r="27" spans="1:8" x14ac:dyDescent="0.3">
      <c r="G27" s="4" t="s">
        <v>198</v>
      </c>
      <c r="H27" s="5">
        <v>243</v>
      </c>
    </row>
    <row r="28" spans="1:8" x14ac:dyDescent="0.3">
      <c r="G28" s="3" t="s">
        <v>326</v>
      </c>
      <c r="H28" s="5">
        <v>4393</v>
      </c>
    </row>
    <row r="32" spans="1:8" x14ac:dyDescent="0.3">
      <c r="A32" s="2" t="s">
        <v>325</v>
      </c>
      <c r="B32" t="s">
        <v>334</v>
      </c>
    </row>
    <row r="33" spans="1:2" x14ac:dyDescent="0.3">
      <c r="A33" s="3" t="s">
        <v>189</v>
      </c>
      <c r="B33" s="5">
        <v>2824</v>
      </c>
    </row>
    <row r="34" spans="1:2" x14ac:dyDescent="0.3">
      <c r="A34" s="3" t="s">
        <v>326</v>
      </c>
      <c r="B34" s="5">
        <v>2824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DB394-4BFB-4CB1-BF2D-F271E33549E5}">
  <dimension ref="B7:K21"/>
  <sheetViews>
    <sheetView topLeftCell="A2" workbookViewId="0">
      <selection activeCell="H7" sqref="H7"/>
    </sheetView>
  </sheetViews>
  <sheetFormatPr defaultRowHeight="14.4" x14ac:dyDescent="0.3"/>
  <cols>
    <col min="2" max="2" width="24.77734375" bestFit="1" customWidth="1"/>
    <col min="5" max="5" width="18.88671875" bestFit="1" customWidth="1"/>
    <col min="8" max="8" width="20.6640625" bestFit="1" customWidth="1"/>
    <col min="11" max="11" width="26" bestFit="1" customWidth="1"/>
  </cols>
  <sheetData>
    <row r="7" spans="2:8" x14ac:dyDescent="0.3">
      <c r="E7" t="s">
        <v>327</v>
      </c>
      <c r="H7" t="s">
        <v>328</v>
      </c>
    </row>
    <row r="8" spans="2:8" x14ac:dyDescent="0.3">
      <c r="B8" t="s">
        <v>330</v>
      </c>
      <c r="E8">
        <v>36199391</v>
      </c>
      <c r="H8">
        <v>34615837</v>
      </c>
    </row>
    <row r="9" spans="2:8" x14ac:dyDescent="0.3">
      <c r="B9">
        <v>70816630</v>
      </c>
    </row>
    <row r="11" spans="2:8" x14ac:dyDescent="0.3">
      <c r="B11">
        <f>GETPIVOTDATA("Total electors",$B$8)</f>
        <v>70816630</v>
      </c>
      <c r="E11">
        <f>GETPIVOTDATA("Male electors",$E$7)</f>
        <v>36199391</v>
      </c>
      <c r="H11">
        <f>GETPIVOTDATA("Female electors",$H$7)</f>
        <v>34615837</v>
      </c>
    </row>
    <row r="13" spans="2:8" x14ac:dyDescent="0.3">
      <c r="B13" t="s">
        <v>331</v>
      </c>
    </row>
    <row r="14" spans="2:8" x14ac:dyDescent="0.3">
      <c r="B14" s="5">
        <v>4393</v>
      </c>
    </row>
    <row r="17" spans="2:11" x14ac:dyDescent="0.3">
      <c r="B17">
        <f>GETPIVOTDATA("No of polling station",$B$13)</f>
        <v>4393</v>
      </c>
      <c r="K17" s="1" t="s">
        <v>329</v>
      </c>
    </row>
    <row r="18" spans="2:11" x14ac:dyDescent="0.3">
      <c r="K18">
        <v>2804</v>
      </c>
    </row>
    <row r="21" spans="2:11" x14ac:dyDescent="0.3">
      <c r="K21">
        <f>GETPIVOTDATA("Other gender electors",$K$17)</f>
        <v>2804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964B4B-94E6-4A9C-AF47-F9FCF904D1B9}">
  <dimension ref="A1"/>
  <sheetViews>
    <sheetView showGridLines="0" tabSelected="1" zoomScale="88" zoomScaleNormal="103" workbookViewId="0">
      <selection activeCell="Y21" sqref="Y2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SIR-2026</vt:lpstr>
      <vt:lpstr>Sheet1</vt:lpstr>
      <vt:lpstr>Sheet2</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Joydip Sahoo</cp:lastModifiedBy>
  <dcterms:created xsi:type="dcterms:W3CDTF">2026-03-23T09:47:07Z</dcterms:created>
  <dcterms:modified xsi:type="dcterms:W3CDTF">2026-03-23T22:50:42Z</dcterms:modified>
</cp:coreProperties>
</file>