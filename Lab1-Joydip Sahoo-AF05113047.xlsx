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52D74D1-D744-48B3-88F0-869480D1A693}" xr6:coauthVersionLast="47" xr6:coauthVersionMax="47" xr10:uidLastSave="{00000000-0000-0000-0000-000000000000}"/>
  <bookViews>
    <workbookView xWindow="-108" yWindow="-108" windowWidth="23256" windowHeight="13176" xr2:uid="{7789D37A-47E3-42B4-8E2A-F8D644002C57}"/>
  </bookViews>
  <sheets>
    <sheet name="lab1-Joydip Sahoo_AF0511304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1" l="1"/>
  <c r="Q13" i="1"/>
  <c r="Q6" i="1"/>
  <c r="Q7" i="1"/>
  <c r="Q8" i="1"/>
  <c r="Q9" i="1"/>
  <c r="Q10" i="1"/>
  <c r="Q11" i="1"/>
  <c r="Q12" i="1"/>
  <c r="Q5" i="1"/>
  <c r="P12" i="1"/>
  <c r="P10" i="1"/>
  <c r="P11" i="1"/>
  <c r="P6" i="1"/>
  <c r="P7" i="1"/>
  <c r="P8" i="1"/>
  <c r="P9" i="1"/>
  <c r="P5" i="1"/>
  <c r="O6" i="1"/>
  <c r="O7" i="1"/>
  <c r="O8" i="1"/>
  <c r="O9" i="1"/>
  <c r="O10" i="1"/>
  <c r="O11" i="1"/>
  <c r="O12" i="1"/>
  <c r="O5" i="1"/>
  <c r="N7" i="1"/>
  <c r="N6" i="1"/>
  <c r="N8" i="1"/>
  <c r="N9" i="1"/>
  <c r="N10" i="1"/>
  <c r="N11" i="1"/>
  <c r="N12" i="1"/>
  <c r="N5" i="1"/>
  <c r="M13" i="1"/>
  <c r="M6" i="1"/>
  <c r="M7" i="1"/>
  <c r="M8" i="1"/>
  <c r="M9" i="1"/>
  <c r="M10" i="1"/>
  <c r="M11" i="1"/>
  <c r="M12" i="1"/>
  <c r="M5" i="1"/>
</calcChain>
</file>

<file path=xl/sharedStrings.xml><?xml version="1.0" encoding="utf-8"?>
<sst xmlns="http://schemas.openxmlformats.org/spreadsheetml/2006/main" count="29" uniqueCount="24">
  <si>
    <t>Product</t>
  </si>
  <si>
    <t>Price</t>
  </si>
  <si>
    <t>Quantity</t>
  </si>
  <si>
    <t>Discount%</t>
  </si>
  <si>
    <t>Salesperson</t>
  </si>
  <si>
    <t>Order ID</t>
  </si>
  <si>
    <t>Pen</t>
  </si>
  <si>
    <t>Amit</t>
  </si>
  <si>
    <t>Pencil</t>
  </si>
  <si>
    <t>Notebook</t>
  </si>
  <si>
    <t>John</t>
  </si>
  <si>
    <t>Eraser</t>
  </si>
  <si>
    <t>Marker</t>
  </si>
  <si>
    <t>Riya</t>
  </si>
  <si>
    <t>Scale</t>
  </si>
  <si>
    <t>Sharpener</t>
  </si>
  <si>
    <t>File</t>
  </si>
  <si>
    <t>Company Tax</t>
  </si>
  <si>
    <t>Shipping Charge</t>
  </si>
  <si>
    <t xml:space="preserve">Toatal Price </t>
  </si>
  <si>
    <t>Discount amount</t>
  </si>
  <si>
    <t>After discount</t>
  </si>
  <si>
    <t>Tax amount</t>
  </si>
  <si>
    <t>Shiping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</si>
</sst>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9" fontId="1" fillId="0" borderId="1" xfId="0" applyNumberFormat="1" applyFont="1" applyBorder="1"/>
    <xf numFmtId="0" fontId="0" fillId="0" borderId="0" xfId="0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D7EC-E578-40DA-AAB8-09B6CE2AA6E5}">
  <dimension ref="A1:Q14"/>
  <sheetViews>
    <sheetView tabSelected="1" zoomScale="106" zoomScaleNormal="117" workbookViewId="0">
      <selection activeCell="F15" sqref="F15"/>
    </sheetView>
  </sheetViews>
  <sheetFormatPr defaultRowHeight="14.4" x14ac:dyDescent="0.3"/>
  <cols>
    <col min="1" max="1" width="7.88671875" bestFit="1" customWidth="1"/>
    <col min="2" max="2" width="9.21875" bestFit="1" customWidth="1"/>
    <col min="3" max="3" width="5" bestFit="1" customWidth="1"/>
    <col min="4" max="4" width="9.6640625" bestFit="1" customWidth="1"/>
    <col min="5" max="5" width="9.5546875" bestFit="1" customWidth="1"/>
    <col min="6" max="6" width="10.6640625" bestFit="1" customWidth="1"/>
    <col min="10" max="10" width="14.21875" bestFit="1" customWidth="1"/>
    <col min="13" max="13" width="11.109375" bestFit="1" customWidth="1"/>
    <col min="14" max="14" width="15" bestFit="1" customWidth="1"/>
    <col min="15" max="15" width="12.44140625" bestFit="1" customWidth="1"/>
    <col min="16" max="16" width="10.6640625" bestFit="1" customWidth="1"/>
    <col min="17" max="17" width="12.77734375" bestFit="1" customWidth="1"/>
  </cols>
  <sheetData>
    <row r="1" spans="1:17" x14ac:dyDescent="0.3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17" x14ac:dyDescent="0.3">
      <c r="A2" s="1">
        <v>1001</v>
      </c>
      <c r="B2" s="1" t="s">
        <v>6</v>
      </c>
      <c r="C2" s="1">
        <v>10</v>
      </c>
      <c r="D2" s="1">
        <v>5</v>
      </c>
      <c r="E2" s="2">
        <v>0.05</v>
      </c>
      <c r="F2" s="1" t="s">
        <v>7</v>
      </c>
    </row>
    <row r="3" spans="1:17" x14ac:dyDescent="0.3">
      <c r="A3" s="1">
        <v>1002</v>
      </c>
      <c r="B3" s="1" t="s">
        <v>8</v>
      </c>
      <c r="C3" s="1">
        <v>5</v>
      </c>
      <c r="D3" s="1">
        <v>10</v>
      </c>
      <c r="E3" s="2">
        <v>0</v>
      </c>
      <c r="F3" s="1" t="s">
        <v>13</v>
      </c>
    </row>
    <row r="4" spans="1:17" x14ac:dyDescent="0.3">
      <c r="A4" s="1">
        <v>1003</v>
      </c>
      <c r="B4" s="1" t="s">
        <v>9</v>
      </c>
      <c r="C4" s="1">
        <v>50</v>
      </c>
      <c r="D4" s="1">
        <v>3</v>
      </c>
      <c r="E4" s="2">
        <v>0.1</v>
      </c>
      <c r="F4" s="1" t="s">
        <v>10</v>
      </c>
      <c r="J4" s="3" t="s">
        <v>17</v>
      </c>
      <c r="K4" s="4">
        <v>0.18</v>
      </c>
      <c r="M4" s="3" t="s">
        <v>19</v>
      </c>
      <c r="N4" s="3" t="s">
        <v>20</v>
      </c>
      <c r="O4" s="3" t="s">
        <v>21</v>
      </c>
      <c r="P4" s="3" t="s">
        <v>22</v>
      </c>
      <c r="Q4" s="6" t="s">
        <v>23</v>
      </c>
    </row>
    <row r="5" spans="1:17" x14ac:dyDescent="0.3">
      <c r="A5" s="1">
        <v>1004</v>
      </c>
      <c r="B5" s="1" t="s">
        <v>11</v>
      </c>
      <c r="C5" s="1">
        <v>3</v>
      </c>
      <c r="D5" s="1">
        <v>20</v>
      </c>
      <c r="E5" s="2">
        <v>0</v>
      </c>
      <c r="F5" s="1" t="s">
        <v>7</v>
      </c>
      <c r="J5" s="3" t="s">
        <v>18</v>
      </c>
      <c r="K5" s="3">
        <v>20</v>
      </c>
      <c r="M5" s="1">
        <f>C2*D2</f>
        <v>50</v>
      </c>
      <c r="N5" s="1">
        <f>M5*E2</f>
        <v>2.5</v>
      </c>
      <c r="O5" s="1">
        <f>M5-N5</f>
        <v>47.5</v>
      </c>
      <c r="P5" s="1">
        <f>O5*$K$4</f>
        <v>8.5499999999999989</v>
      </c>
      <c r="Q5" s="1">
        <f>O5+P5+$K$5</f>
        <v>76.05</v>
      </c>
    </row>
    <row r="6" spans="1:17" x14ac:dyDescent="0.3">
      <c r="A6" s="1">
        <v>1005</v>
      </c>
      <c r="B6" s="1" t="s">
        <v>12</v>
      </c>
      <c r="C6" s="1">
        <v>25</v>
      </c>
      <c r="D6" s="1">
        <v>4</v>
      </c>
      <c r="E6" s="2">
        <v>0.05</v>
      </c>
      <c r="F6" s="1" t="s">
        <v>13</v>
      </c>
      <c r="M6" s="1">
        <f t="shared" ref="M6:M13" si="0">C3*D3</f>
        <v>50</v>
      </c>
      <c r="N6" s="1">
        <f t="shared" ref="N6:N12" si="1">M6*E3</f>
        <v>0</v>
      </c>
      <c r="O6" s="1">
        <f t="shared" ref="O6:O12" si="2">M6-N6</f>
        <v>50</v>
      </c>
      <c r="P6" s="1">
        <f t="shared" ref="P6:P12" si="3">O6*$K$4</f>
        <v>9</v>
      </c>
      <c r="Q6" s="1">
        <f t="shared" ref="Q6:Q12" si="4">O6+P6+$K$5</f>
        <v>79</v>
      </c>
    </row>
    <row r="7" spans="1:17" x14ac:dyDescent="0.3">
      <c r="A7" s="1">
        <v>1006</v>
      </c>
      <c r="B7" s="1" t="s">
        <v>14</v>
      </c>
      <c r="C7" s="1">
        <v>15</v>
      </c>
      <c r="D7" s="1">
        <v>6</v>
      </c>
      <c r="E7" s="2">
        <v>0</v>
      </c>
      <c r="F7" s="1" t="s">
        <v>10</v>
      </c>
      <c r="M7" s="1">
        <f t="shared" si="0"/>
        <v>150</v>
      </c>
      <c r="N7" s="1">
        <f>M7*E4</f>
        <v>15</v>
      </c>
      <c r="O7" s="1">
        <f t="shared" si="2"/>
        <v>135</v>
      </c>
      <c r="P7" s="1">
        <f t="shared" si="3"/>
        <v>24.3</v>
      </c>
      <c r="Q7" s="1">
        <f t="shared" si="4"/>
        <v>179.3</v>
      </c>
    </row>
    <row r="8" spans="1:17" x14ac:dyDescent="0.3">
      <c r="A8" s="1">
        <v>1007</v>
      </c>
      <c r="B8" s="1" t="s">
        <v>15</v>
      </c>
      <c r="C8" s="1">
        <v>8</v>
      </c>
      <c r="D8" s="1">
        <v>8</v>
      </c>
      <c r="E8" s="2">
        <v>0.05</v>
      </c>
      <c r="F8" s="1" t="s">
        <v>7</v>
      </c>
      <c r="M8" s="1">
        <f t="shared" si="0"/>
        <v>60</v>
      </c>
      <c r="N8" s="1">
        <f t="shared" si="1"/>
        <v>0</v>
      </c>
      <c r="O8" s="1">
        <f t="shared" si="2"/>
        <v>60</v>
      </c>
      <c r="P8" s="1">
        <f t="shared" si="3"/>
        <v>10.799999999999999</v>
      </c>
      <c r="Q8" s="1">
        <f t="shared" si="4"/>
        <v>90.8</v>
      </c>
    </row>
    <row r="9" spans="1:17" x14ac:dyDescent="0.3">
      <c r="A9" s="1">
        <v>1008</v>
      </c>
      <c r="B9" s="1" t="s">
        <v>16</v>
      </c>
      <c r="C9" s="1">
        <v>40</v>
      </c>
      <c r="D9" s="1">
        <v>2</v>
      </c>
      <c r="E9" s="2">
        <v>0.1</v>
      </c>
      <c r="F9" s="1" t="s">
        <v>13</v>
      </c>
      <c r="M9" s="1">
        <f t="shared" si="0"/>
        <v>100</v>
      </c>
      <c r="N9" s="1">
        <f t="shared" si="1"/>
        <v>5</v>
      </c>
      <c r="O9" s="1">
        <f t="shared" si="2"/>
        <v>95</v>
      </c>
      <c r="P9" s="1">
        <f t="shared" si="3"/>
        <v>17.099999999999998</v>
      </c>
      <c r="Q9" s="1">
        <f t="shared" si="4"/>
        <v>132.1</v>
      </c>
    </row>
    <row r="10" spans="1:17" x14ac:dyDescent="0.3">
      <c r="M10" s="1">
        <f t="shared" si="0"/>
        <v>90</v>
      </c>
      <c r="N10" s="1">
        <f t="shared" si="1"/>
        <v>0</v>
      </c>
      <c r="O10" s="1">
        <f t="shared" si="2"/>
        <v>90</v>
      </c>
      <c r="P10" s="1">
        <f>O10*$K$4</f>
        <v>16.2</v>
      </c>
      <c r="Q10" s="1">
        <f t="shared" si="4"/>
        <v>126.2</v>
      </c>
    </row>
    <row r="11" spans="1:17" x14ac:dyDescent="0.3">
      <c r="M11" s="1">
        <f t="shared" si="0"/>
        <v>64</v>
      </c>
      <c r="N11" s="1">
        <f t="shared" si="1"/>
        <v>3.2</v>
      </c>
      <c r="O11" s="1">
        <f t="shared" si="2"/>
        <v>60.8</v>
      </c>
      <c r="P11" s="1">
        <f t="shared" si="3"/>
        <v>10.943999999999999</v>
      </c>
      <c r="Q11" s="1">
        <f t="shared" si="4"/>
        <v>91.744</v>
      </c>
    </row>
    <row r="12" spans="1:17" x14ac:dyDescent="0.3">
      <c r="M12" s="1">
        <f t="shared" si="0"/>
        <v>80</v>
      </c>
      <c r="N12" s="1">
        <f t="shared" si="1"/>
        <v>8</v>
      </c>
      <c r="O12" s="1">
        <f t="shared" si="2"/>
        <v>72</v>
      </c>
      <c r="P12" s="1">
        <f>O12*$K$4</f>
        <v>12.959999999999999</v>
      </c>
      <c r="Q12" s="1">
        <f t="shared" si="4"/>
        <v>104.96</v>
      </c>
    </row>
    <row r="13" spans="1:17" x14ac:dyDescent="0.3">
      <c r="M13" s="3">
        <f>SUM(M5:M12)</f>
        <v>644</v>
      </c>
      <c r="N13" s="3"/>
      <c r="O13" s="3">
        <f>SUM(O5:O12)</f>
        <v>610.29999999999995</v>
      </c>
      <c r="P13" s="3"/>
      <c r="Q13" s="3">
        <f>SUM(Q5:Q12)</f>
        <v>880.15400000000011</v>
      </c>
    </row>
    <row r="14" spans="1:17" x14ac:dyDescent="0.3">
      <c r="M14" s="5"/>
      <c r="N14" s="5"/>
      <c r="O14" s="5"/>
      <c r="P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lab1-Joydip Sahoo_AF05113047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Joydip Sahoo</dc:creator>
  <cp:lastModifiedBy>Joydip Sahoo</cp:lastModifiedBy>
  <dcterms:created xsi:type="dcterms:W3CDTF">2026-02-20T06:33:54Z</dcterms:created>
  <dcterms:modified xsi:type="dcterms:W3CDTF">2026-02-20T07:58:40Z</dcterms:modified>
</cp:coreProperties>
</file>